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ía" sheetId="1" state="visible" r:id="rId3"/>
    <sheet name="Dashboard" sheetId="2" state="visible" r:id="rId4"/>
    <sheet name="KOLs" sheetId="3" state="visible" r:id="rId5"/>
    <sheet name="Posts" sheetId="4" state="visible" r:id="rId6"/>
    <sheet name="Pagos" sheetId="5" state="visible" r:id="rId7"/>
  </sheets>
  <definedNames>
    <definedName function="false" hidden="false" name="KOLNombres" vbProcedure="false">KOLs!$A$2:$A$300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<sst xmlns="http://schemas.openxmlformats.org/spreadsheetml/2006/main" count="135" uniqueCount="98">
  <si>
    <t xml:space="preserve">KOL Tracker — GenLayer Ambassadors &amp; Rally</t>
  </si>
  <si>
    <t xml:space="preserve">Cómo usarlo</t>
  </si>
  <si>
    <t xml:space="preserve">1. Alta de cada KOL en la hoja 'KOLs' (nombre, handle de X, programa, acuerdo y tarifa).</t>
  </si>
  <si>
    <t xml:space="preserve">2. Cada vez que publiquen, añade una fila en 'Posts' con el link y las métricas (views, likes, RTs).</t>
  </si>
  <si>
    <t xml:space="preserve">3. Registra cada pago (o pago comprometido) en 'Pagos' con su estado: Pagado o Pendiente.</t>
  </si>
  <si>
    <t xml:space="preserve">4. 'Dashboard' y las columnas grises de 'KOLs' se calculan solas: no las edites.</t>
  </si>
  <si>
    <t xml:space="preserve">Código de colores</t>
  </si>
  <si>
    <t xml:space="preserve">• Fondo amarillo = celdas que rellenas tú.</t>
  </si>
  <si>
    <t xml:space="preserve">• Texto azul = datos introducidos a mano (los ejemplos incluidos están en azul).</t>
  </si>
  <si>
    <t xml:space="preserve">• Texto negro sin fondo = fórmulas automáticas, no tocar.</t>
  </si>
  <si>
    <t xml:space="preserve">Notas</t>
  </si>
  <si>
    <t xml:space="preserve">• Las filas marcadas '(ejemplo)' son de muestra: bórralas o sobreescríbelas con datos reales.</t>
  </si>
  <si>
    <t xml:space="preserve">• Las métricas de X (views/likes/RTs) se introducen a mano; la API de X es de pago.</t>
  </si>
  <si>
    <t xml:space="preserve">• Las fórmulas cubren hasta la fila 300 de cada hoja; si necesitas más filas, avísame y amplío los rangos.</t>
  </si>
  <si>
    <t xml:space="preserve">• CPM = coste pagado por cada 1.000 views atribuidas a ese KOL/programa.</t>
  </si>
  <si>
    <t xml:space="preserve">KOL Tracker — Dashboard</t>
  </si>
  <si>
    <t xml:space="preserve">Todo se calcula solo a partir de KOLs / Posts / Pagos.</t>
  </si>
  <si>
    <t xml:space="preserve">Totales</t>
  </si>
  <si>
    <t xml:space="preserve">KOLs activos</t>
  </si>
  <si>
    <t xml:space="preserve">Posts publicados</t>
  </si>
  <si>
    <t xml:space="preserve">Views totales</t>
  </si>
  <si>
    <t xml:space="preserve">Total pagado ($)</t>
  </si>
  <si>
    <t xml:space="preserve">Total pendiente ($)</t>
  </si>
  <si>
    <t xml:space="preserve">Coste por post ($)</t>
  </si>
  <si>
    <t xml:space="preserve">CPM ($/1k views)</t>
  </si>
  <si>
    <t xml:space="preserve">Por programa</t>
  </si>
  <si>
    <t xml:space="preserve">Programa</t>
  </si>
  <si>
    <t xml:space="preserve">Posts</t>
  </si>
  <si>
    <t xml:space="preserve">Views</t>
  </si>
  <si>
    <t xml:space="preserve">Pagado ($)</t>
  </si>
  <si>
    <t xml:space="preserve">Pendiente ($)</t>
  </si>
  <si>
    <t xml:space="preserve">Coste/post ($)</t>
  </si>
  <si>
    <t xml:space="preserve">CPM ($/1k)</t>
  </si>
  <si>
    <t xml:space="preserve">GenLayer Ambassador</t>
  </si>
  <si>
    <t xml:space="preserve">Rally</t>
  </si>
  <si>
    <t xml:space="preserve">El detalle por KOL (posts, pagado, pendiente, CPM) está en las columnas grises de la hoja 'KOLs'.</t>
  </si>
  <si>
    <t xml:space="preserve">Nombre</t>
  </si>
  <si>
    <t xml:space="preserve">Handle X</t>
  </si>
  <si>
    <t xml:space="preserve">Link X</t>
  </si>
  <si>
    <t xml:space="preserve">Tipo de acuerdo</t>
  </si>
  <si>
    <t xml:space="preserve">Tarifa ($)</t>
  </si>
  <si>
    <t xml:space="preserve">Fecha inicio</t>
  </si>
  <si>
    <t xml:space="preserve">Estado</t>
  </si>
  <si>
    <t xml:space="preserve">Wallet / método de pago</t>
  </si>
  <si>
    <t xml:space="preserve">Nº posts</t>
  </si>
  <si>
    <t xml:space="preserve">Ana Ejemplo</t>
  </si>
  <si>
    <t xml:space="preserve">@ana_web3</t>
  </si>
  <si>
    <t xml:space="preserve">https://x.com/ana_web3</t>
  </si>
  <si>
    <t xml:space="preserve">Fijo mensual</t>
  </si>
  <si>
    <t xml:space="preserve">2026-06-01</t>
  </si>
  <si>
    <t xml:space="preserve">Activo</t>
  </si>
  <si>
    <t xml:space="preserve">USDC 0x1234…abcd</t>
  </si>
  <si>
    <t xml:space="preserve">(ejemplo) borrar</t>
  </si>
  <si>
    <t xml:space="preserve">Bruno Ejemplo</t>
  </si>
  <si>
    <t xml:space="preserve">@brunocripto</t>
  </si>
  <si>
    <t xml:space="preserve">https://x.com/brunocripto</t>
  </si>
  <si>
    <t xml:space="preserve">Por post</t>
  </si>
  <si>
    <t xml:space="preserve">2026-06-15</t>
  </si>
  <si>
    <t xml:space="preserve">PayPal bruno@mail.com</t>
  </si>
  <si>
    <t xml:space="preserve">Carla Ejemplo</t>
  </si>
  <si>
    <t xml:space="preserve">@carla_defi</t>
  </si>
  <si>
    <t xml:space="preserve">https://x.com/carla_defi</t>
  </si>
  <si>
    <t xml:space="preserve">2026-07-01</t>
  </si>
  <si>
    <t xml:space="preserve">USDT 0x9876…ff00</t>
  </si>
  <si>
    <t xml:space="preserve">Fecha</t>
  </si>
  <si>
    <t xml:space="preserve">KOL</t>
  </si>
  <si>
    <t xml:space="preserve">Programa (auto)</t>
  </si>
  <si>
    <t xml:space="preserve">Link al post</t>
  </si>
  <si>
    <t xml:space="preserve">Tipo</t>
  </si>
  <si>
    <t xml:space="preserve">Likes</t>
  </si>
  <si>
    <t xml:space="preserve">RTs</t>
  </si>
  <si>
    <t xml:space="preserve">Comentarios</t>
  </si>
  <si>
    <t xml:space="preserve">Coste atribuido ($)</t>
  </si>
  <si>
    <t xml:space="preserve">2026-07-05</t>
  </si>
  <si>
    <t xml:space="preserve">https://x.com/ana_web3/status/111</t>
  </si>
  <si>
    <t xml:space="preserve">Hilo</t>
  </si>
  <si>
    <t xml:space="preserve">(ejemplo) incluido en fijo mensual</t>
  </si>
  <si>
    <t xml:space="preserve">2026-07-10</t>
  </si>
  <si>
    <t xml:space="preserve">https://x.com/brunocripto/status/222</t>
  </si>
  <si>
    <t xml:space="preserve">Post</t>
  </si>
  <si>
    <t xml:space="preserve">(ejemplo) pagado por post</t>
  </si>
  <si>
    <t xml:space="preserve">2026-07-12</t>
  </si>
  <si>
    <t xml:space="preserve">https://x.com/carla_defi/status/333</t>
  </si>
  <si>
    <t xml:space="preserve">2026-07-20</t>
  </si>
  <si>
    <t xml:space="preserve">https://x.com/ana_web3/status/444</t>
  </si>
  <si>
    <t xml:space="preserve">Space</t>
  </si>
  <si>
    <t xml:space="preserve">(ejemplo)</t>
  </si>
  <si>
    <t xml:space="preserve">Importe ($)</t>
  </si>
  <si>
    <t xml:space="preserve">Concepto</t>
  </si>
  <si>
    <t xml:space="preserve">Método / tx</t>
  </si>
  <si>
    <t xml:space="preserve">Fijo mensual julio</t>
  </si>
  <si>
    <t xml:space="preserve">Pagado</t>
  </si>
  <si>
    <t xml:space="preserve">USDC tx 0xaaa…</t>
  </si>
  <si>
    <t xml:space="preserve">2026-07-15</t>
  </si>
  <si>
    <t xml:space="preserve">Post 2026-07-10</t>
  </si>
  <si>
    <t xml:space="preserve">PayPal</t>
  </si>
  <si>
    <t xml:space="preserve">2026-08-01</t>
  </si>
  <si>
    <t xml:space="preserve">Pendiente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</si>
</sst>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;&quot;($&quot;#,##0\);\-"/>
    <numFmt numFmtId="167" formatCode="\$#,##0.00;&quot;($&quot;#,##0.00\);\-"/>
    <numFmt numFmtId="168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2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2" t="s">
        <v>9</v>
      </c>
    </row>
    <row r="13" customFormat="false" ht="15" hidden="false" customHeight="false" outlineLevel="0" collapsed="false">
      <c r="B13" s="2"/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8" min="7" style="0" width="15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4" t="s">
        <v>16</v>
      </c>
    </row>
    <row r="4" customFormat="false" ht="15" hidden="false" customHeight="false" outlineLevel="0" collapsed="false">
      <c r="A4" s="3" t="s">
        <v>17</v>
      </c>
    </row>
    <row r="5" customFormat="false" ht="15" hidden="false" customHeight="false" outlineLevel="0" collapsed="false">
      <c r="A5" s="2" t="s">
        <v>18</v>
      </c>
      <c r="B5" s="5" t="n">
        <f aca="false">COUNTIF(KOLs!$H$2:$H$300,"Activo")</f>
        <v>3</v>
      </c>
    </row>
    <row r="6" customFormat="false" ht="15" hidden="false" customHeight="false" outlineLevel="0" collapsed="false">
      <c r="A6" s="2" t="s">
        <v>19</v>
      </c>
      <c r="B6" s="5" t="n">
        <f aca="false">COUNTA(Posts!$A$2:$A$300)</f>
        <v>4</v>
      </c>
    </row>
    <row r="7" customFormat="false" ht="15" hidden="false" customHeight="false" outlineLevel="0" collapsed="false">
      <c r="A7" s="2" t="s">
        <v>20</v>
      </c>
      <c r="B7" s="5" t="n">
        <f aca="false">SUM(Posts!$F$2:$F$300)</f>
        <v>38900</v>
      </c>
    </row>
    <row r="8" customFormat="false" ht="15" hidden="false" customHeight="false" outlineLevel="0" collapsed="false">
      <c r="A8" s="2" t="s">
        <v>21</v>
      </c>
      <c r="B8" s="6" t="n">
        <f aca="false">SUMIF(Pagos!$F$2:$F$300,"Pagado",Pagos!$D$2:$D$300)</f>
        <v>560</v>
      </c>
    </row>
    <row r="9" customFormat="false" ht="15" hidden="false" customHeight="false" outlineLevel="0" collapsed="false">
      <c r="A9" s="2" t="s">
        <v>22</v>
      </c>
      <c r="B9" s="6" t="n">
        <f aca="false">SUMIF(Pagos!$F$2:$F$300,"Pendiente",Pagos!$D$2:$D$300)</f>
        <v>800</v>
      </c>
    </row>
    <row r="10" customFormat="false" ht="15" hidden="false" customHeight="false" outlineLevel="0" collapsed="false">
      <c r="A10" s="2" t="s">
        <v>23</v>
      </c>
      <c r="B10" s="7" t="n">
        <f aca="false">IF(B6=0,"-",B8/B6)</f>
        <v>140</v>
      </c>
    </row>
    <row r="11" customFormat="false" ht="15" hidden="false" customHeight="false" outlineLevel="0" collapsed="false">
      <c r="A11" s="2" t="s">
        <v>24</v>
      </c>
      <c r="B11" s="7" t="n">
        <f aca="false">IF(B7=0,"-",B8/B7*1000)</f>
        <v>14.3958868894602</v>
      </c>
    </row>
    <row r="14" customFormat="false" ht="15" hidden="false" customHeight="false" outlineLevel="0" collapsed="false">
      <c r="A14" s="3" t="s">
        <v>25</v>
      </c>
    </row>
    <row r="15" customFormat="false" ht="15" hidden="false" customHeight="false" outlineLevel="0" collapsed="false">
      <c r="A15" s="8" t="s">
        <v>26</v>
      </c>
      <c r="B15" s="8" t="s">
        <v>18</v>
      </c>
      <c r="C15" s="8" t="s">
        <v>27</v>
      </c>
      <c r="D15" s="8" t="s">
        <v>28</v>
      </c>
      <c r="E15" s="8" t="s">
        <v>29</v>
      </c>
      <c r="F15" s="8" t="s">
        <v>30</v>
      </c>
      <c r="G15" s="8" t="s">
        <v>31</v>
      </c>
      <c r="H15" s="8" t="s">
        <v>32</v>
      </c>
    </row>
    <row r="16" customFormat="false" ht="15" hidden="false" customHeight="false" outlineLevel="0" collapsed="false">
      <c r="A16" s="9" t="s">
        <v>33</v>
      </c>
      <c r="B16" s="10" t="n">
        <f aca="false">COUNTIFS(KOLs!$D$2:$D$300,$A16,KOLs!$H$2:$H$300,"Activo")</f>
        <v>2</v>
      </c>
      <c r="C16" s="10" t="n">
        <f aca="false">COUNTIF(Posts!$C$2:$C$300,$A16)</f>
        <v>3</v>
      </c>
      <c r="D16" s="10" t="n">
        <f aca="false">SUMIF(Posts!$C$2:$C$300,$A16,Posts!$F$2:$F$300)</f>
        <v>18800</v>
      </c>
      <c r="E16" s="11" t="n">
        <f aca="false">SUMIFS(Pagos!$D$2:$D$300,Pagos!$C$2:$C$300,$A16,Pagos!$F$2:$F$300,"Pagado")</f>
        <v>560</v>
      </c>
      <c r="F16" s="11" t="n">
        <f aca="false">SUMIFS(Pagos!$D$2:$D$300,Pagos!$C$2:$C$300,$A16,Pagos!$F$2:$F$300,"Pendiente")</f>
        <v>0</v>
      </c>
      <c r="G16" s="12" t="n">
        <f aca="false">IF(C16=0,"-",E16/C16)</f>
        <v>186.666666666667</v>
      </c>
      <c r="H16" s="12" t="n">
        <f aca="false">IF(D16=0,"-",E16/D16*1000)</f>
        <v>29.7872340425532</v>
      </c>
    </row>
    <row r="17" customFormat="false" ht="15" hidden="false" customHeight="false" outlineLevel="0" collapsed="false">
      <c r="A17" s="9" t="s">
        <v>34</v>
      </c>
      <c r="B17" s="10" t="n">
        <f aca="false">COUNTIFS(KOLs!$D$2:$D$300,$A17,KOLs!$H$2:$H$300,"Activo")</f>
        <v>1</v>
      </c>
      <c r="C17" s="10" t="n">
        <f aca="false">COUNTIF(Posts!$C$2:$C$300,$A17)</f>
        <v>1</v>
      </c>
      <c r="D17" s="10" t="n">
        <f aca="false">SUMIF(Posts!$C$2:$C$300,$A17,Posts!$F$2:$F$300)</f>
        <v>20100</v>
      </c>
      <c r="E17" s="11" t="n">
        <f aca="false">SUMIFS(Pagos!$D$2:$D$300,Pagos!$C$2:$C$300,$A17,Pagos!$F$2:$F$300,"Pagado")</f>
        <v>0</v>
      </c>
      <c r="F17" s="11" t="n">
        <f aca="false">SUMIFS(Pagos!$D$2:$D$300,Pagos!$C$2:$C$300,$A17,Pagos!$F$2:$F$300,"Pendiente")</f>
        <v>800</v>
      </c>
      <c r="G17" s="12" t="n">
        <f aca="false">IF(C17=0,"-",E17/C17)</f>
        <v>0</v>
      </c>
      <c r="H17" s="12" t="n">
        <f aca="false">IF(D17=0,"-",E17/D17*1000)</f>
        <v>0</v>
      </c>
    </row>
    <row r="20" customFormat="false" ht="15" hidden="false" customHeight="false" outlineLevel="0" collapsed="false">
      <c r="A20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4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3"/>
  </cols>
  <sheetData>
    <row r="1" customFormat="false" ht="15" hidden="false" customHeight="false" outlineLevel="0" collapsed="false">
      <c r="A1" s="13" t="s">
        <v>36</v>
      </c>
      <c r="B1" s="13" t="s">
        <v>37</v>
      </c>
      <c r="C1" s="13" t="s">
        <v>38</v>
      </c>
      <c r="D1" s="13" t="s">
        <v>26</v>
      </c>
      <c r="E1" s="13" t="s">
        <v>39</v>
      </c>
      <c r="F1" s="13" t="s">
        <v>40</v>
      </c>
      <c r="G1" s="13" t="s">
        <v>41</v>
      </c>
      <c r="H1" s="13" t="s">
        <v>42</v>
      </c>
      <c r="I1" s="13" t="s">
        <v>43</v>
      </c>
      <c r="J1" s="13" t="s">
        <v>10</v>
      </c>
      <c r="K1" s="13" t="s">
        <v>44</v>
      </c>
      <c r="L1" s="13" t="s">
        <v>20</v>
      </c>
      <c r="M1" s="13" t="s">
        <v>21</v>
      </c>
      <c r="N1" s="13" t="s">
        <v>30</v>
      </c>
      <c r="O1" s="13" t="s">
        <v>24</v>
      </c>
    </row>
    <row r="2" customFormat="false" ht="15" hidden="false" customHeight="false" outlineLevel="0" collapsed="false">
      <c r="A2" s="14" t="s">
        <v>45</v>
      </c>
      <c r="B2" s="14" t="s">
        <v>46</v>
      </c>
      <c r="C2" s="14" t="s">
        <v>47</v>
      </c>
      <c r="D2" s="14" t="s">
        <v>33</v>
      </c>
      <c r="E2" s="14" t="s">
        <v>48</v>
      </c>
      <c r="F2" s="15" t="n">
        <v>500</v>
      </c>
      <c r="G2" s="16" t="s">
        <v>49</v>
      </c>
      <c r="H2" s="14" t="s">
        <v>50</v>
      </c>
      <c r="I2" s="14" t="s">
        <v>51</v>
      </c>
      <c r="J2" s="14" t="s">
        <v>52</v>
      </c>
      <c r="K2" s="10" t="n">
        <f aca="false">IF(A2="","",COUNTIF(Posts!$B$2:$B$300,A2))</f>
        <v>2</v>
      </c>
      <c r="L2" s="10" t="n">
        <f aca="false">IF(A2="","",SUMIF(Posts!$B$2:$B$300,A2,Posts!$F$2:$F$300))</f>
        <v>14500</v>
      </c>
      <c r="M2" s="11" t="n">
        <f aca="false">IF(A2="","",SUMIFS(Pagos!$D$2:$D$300,Pagos!$B$2:$B$300,A2,Pagos!$F$2:$F$300,"Pagado"))</f>
        <v>500</v>
      </c>
      <c r="N2" s="11" t="n">
        <f aca="false">IF(A2="","",SUMIFS(Pagos!$D$2:$D$300,Pagos!$B$2:$B$300,A2,Pagos!$F$2:$F$300,"Pendiente"))</f>
        <v>0</v>
      </c>
      <c r="O2" s="12" t="n">
        <f aca="false">IF(A2="","",IF(L2=0,"-",M2/L2*1000))</f>
        <v>34.4827586206897</v>
      </c>
    </row>
    <row r="3" customFormat="false" ht="15" hidden="false" customHeight="false" outlineLevel="0" collapsed="false">
      <c r="A3" s="14" t="s">
        <v>53</v>
      </c>
      <c r="B3" s="14" t="s">
        <v>54</v>
      </c>
      <c r="C3" s="14" t="s">
        <v>55</v>
      </c>
      <c r="D3" s="14" t="s">
        <v>33</v>
      </c>
      <c r="E3" s="14" t="s">
        <v>56</v>
      </c>
      <c r="F3" s="15" t="n">
        <v>60</v>
      </c>
      <c r="G3" s="16" t="s">
        <v>57</v>
      </c>
      <c r="H3" s="14" t="s">
        <v>50</v>
      </c>
      <c r="I3" s="14" t="s">
        <v>58</v>
      </c>
      <c r="J3" s="14" t="s">
        <v>52</v>
      </c>
      <c r="K3" s="10" t="n">
        <f aca="false">IF(A3="","",COUNTIF(Posts!$B$2:$B$300,A3))</f>
        <v>1</v>
      </c>
      <c r="L3" s="10" t="n">
        <f aca="false">IF(A3="","",SUMIF(Posts!$B$2:$B$300,A3,Posts!$F$2:$F$300))</f>
        <v>4300</v>
      </c>
      <c r="M3" s="11" t="n">
        <f aca="false">IF(A3="","",SUMIFS(Pagos!$D$2:$D$300,Pagos!$B$2:$B$300,A3,Pagos!$F$2:$F$300,"Pagado"))</f>
        <v>60</v>
      </c>
      <c r="N3" s="11" t="n">
        <f aca="false">IF(A3="","",SUMIFS(Pagos!$D$2:$D$300,Pagos!$B$2:$B$300,A3,Pagos!$F$2:$F$300,"Pendiente"))</f>
        <v>0</v>
      </c>
      <c r="O3" s="12" t="n">
        <f aca="false">IF(A3="","",IF(L3=0,"-",M3/L3*1000))</f>
        <v>13.953488372093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14" t="s">
        <v>61</v>
      </c>
      <c r="D4" s="14" t="s">
        <v>34</v>
      </c>
      <c r="E4" s="14" t="s">
        <v>48</v>
      </c>
      <c r="F4" s="15" t="n">
        <v>800</v>
      </c>
      <c r="G4" s="16" t="s">
        <v>62</v>
      </c>
      <c r="H4" s="14" t="s">
        <v>50</v>
      </c>
      <c r="I4" s="14" t="s">
        <v>63</v>
      </c>
      <c r="J4" s="14" t="s">
        <v>52</v>
      </c>
      <c r="K4" s="10" t="n">
        <f aca="false">IF(A4="","",COUNTIF(Posts!$B$2:$B$300,A4))</f>
        <v>1</v>
      </c>
      <c r="L4" s="10" t="n">
        <f aca="false">IF(A4="","",SUMIF(Posts!$B$2:$B$300,A4,Posts!$F$2:$F$300))</f>
        <v>20100</v>
      </c>
      <c r="M4" s="11" t="n">
        <f aca="false">IF(A4="","",SUMIFS(Pagos!$D$2:$D$300,Pagos!$B$2:$B$300,A4,Pagos!$F$2:$F$300,"Pagado"))</f>
        <v>0</v>
      </c>
      <c r="N4" s="11" t="n">
        <f aca="false">IF(A4="","",SUMIFS(Pagos!$D$2:$D$300,Pagos!$B$2:$B$300,A4,Pagos!$F$2:$F$300,"Pendiente"))</f>
        <v>800</v>
      </c>
      <c r="O4" s="12" t="n">
        <f aca="false">IF(A4="","",IF(L4=0,"-",M4/L4*1000))</f>
        <v>0</v>
      </c>
    </row>
    <row r="5" customFormat="false" ht="15" hidden="false" customHeight="fals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0" t="str">
        <f aca="false">IF(A5="","",COUNTIF(Posts!$B$2:$B$300,A5))</f>
        <v/>
      </c>
      <c r="L5" s="10" t="str">
        <f aca="false">IF(A5="","",SUMIF(Posts!$B$2:$B$300,A5,Posts!$F$2:$F$300))</f>
        <v/>
      </c>
      <c r="M5" s="11" t="str">
        <f aca="false">IF(A5="","",SUMIFS(Pagos!$D$2:$D$300,Pagos!$B$2:$B$300,A5,Pagos!$F$2:$F$300,"Pagado"))</f>
        <v/>
      </c>
      <c r="N5" s="11" t="str">
        <f aca="false">IF(A5="","",SUMIFS(Pagos!$D$2:$D$300,Pagos!$B$2:$B$300,A5,Pagos!$F$2:$F$300,"Pendiente"))</f>
        <v/>
      </c>
      <c r="O5" s="12" t="str">
        <f aca="false">IF(A5="","",IF(L5=0,"-",M5/L5*1000))</f>
        <v/>
      </c>
    </row>
    <row r="6" customFormat="false" ht="15" hidden="false" customHeight="fals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0" t="str">
        <f aca="false">IF(A6="","",COUNTIF(Posts!$B$2:$B$300,A6))</f>
        <v/>
      </c>
      <c r="L6" s="10" t="str">
        <f aca="false">IF(A6="","",SUMIF(Posts!$B$2:$B$300,A6,Posts!$F$2:$F$300))</f>
        <v/>
      </c>
      <c r="M6" s="11" t="str">
        <f aca="false">IF(A6="","",SUMIFS(Pagos!$D$2:$D$300,Pagos!$B$2:$B$300,A6,Pagos!$F$2:$F$300,"Pagado"))</f>
        <v/>
      </c>
      <c r="N6" s="11" t="str">
        <f aca="false">IF(A6="","",SUMIFS(Pagos!$D$2:$D$300,Pagos!$B$2:$B$300,A6,Pagos!$F$2:$F$300,"Pendiente"))</f>
        <v/>
      </c>
      <c r="O6" s="12" t="str">
        <f aca="false">IF(A6="","",IF(L6=0,"-",M6/L6*1000))</f>
        <v/>
      </c>
    </row>
    <row r="7" customFormat="false" ht="15" hidden="false" customHeight="fals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0" t="str">
        <f aca="false">IF(A7="","",COUNTIF(Posts!$B$2:$B$300,A7))</f>
        <v/>
      </c>
      <c r="L7" s="10" t="str">
        <f aca="false">IF(A7="","",SUMIF(Posts!$B$2:$B$300,A7,Posts!$F$2:$F$300))</f>
        <v/>
      </c>
      <c r="M7" s="11" t="str">
        <f aca="false">IF(A7="","",SUMIFS(Pagos!$D$2:$D$300,Pagos!$B$2:$B$300,A7,Pagos!$F$2:$F$300,"Pagado"))</f>
        <v/>
      </c>
      <c r="N7" s="11" t="str">
        <f aca="false">IF(A7="","",SUMIFS(Pagos!$D$2:$D$300,Pagos!$B$2:$B$300,A7,Pagos!$F$2:$F$300,"Pendiente"))</f>
        <v/>
      </c>
      <c r="O7" s="12" t="str">
        <f aca="false">IF(A7="","",IF(L7=0,"-",M7/L7*1000))</f>
        <v/>
      </c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0" t="str">
        <f aca="false">IF(A8="","",COUNTIF(Posts!$B$2:$B$300,A8))</f>
        <v/>
      </c>
      <c r="L8" s="10" t="str">
        <f aca="false">IF(A8="","",SUMIF(Posts!$B$2:$B$300,A8,Posts!$F$2:$F$300))</f>
        <v/>
      </c>
      <c r="M8" s="11" t="str">
        <f aca="false">IF(A8="","",SUMIFS(Pagos!$D$2:$D$300,Pagos!$B$2:$B$300,A8,Pagos!$F$2:$F$300,"Pagado"))</f>
        <v/>
      </c>
      <c r="N8" s="11" t="str">
        <f aca="false">IF(A8="","",SUMIFS(Pagos!$D$2:$D$300,Pagos!$B$2:$B$300,A8,Pagos!$F$2:$F$300,"Pendiente"))</f>
        <v/>
      </c>
      <c r="O8" s="12" t="str">
        <f aca="false">IF(A8="","",IF(L8=0,"-",M8/L8*1000))</f>
        <v/>
      </c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0" t="str">
        <f aca="false">IF(A9="","",COUNTIF(Posts!$B$2:$B$300,A9))</f>
        <v/>
      </c>
      <c r="L9" s="10" t="str">
        <f aca="false">IF(A9="","",SUMIF(Posts!$B$2:$B$300,A9,Posts!$F$2:$F$300))</f>
        <v/>
      </c>
      <c r="M9" s="11" t="str">
        <f aca="false">IF(A9="","",SUMIFS(Pagos!$D$2:$D$300,Pagos!$B$2:$B$300,A9,Pagos!$F$2:$F$300,"Pagado"))</f>
        <v/>
      </c>
      <c r="N9" s="11" t="str">
        <f aca="false">IF(A9="","",SUMIFS(Pagos!$D$2:$D$300,Pagos!$B$2:$B$300,A9,Pagos!$F$2:$F$300,"Pendiente"))</f>
        <v/>
      </c>
      <c r="O9" s="12" t="str">
        <f aca="false">IF(A9="","",IF(L9=0,"-",M9/L9*1000))</f>
        <v/>
      </c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0" t="str">
        <f aca="false">IF(A10="","",COUNTIF(Posts!$B$2:$B$300,A10))</f>
        <v/>
      </c>
      <c r="L10" s="10" t="str">
        <f aca="false">IF(A10="","",SUMIF(Posts!$B$2:$B$300,A10,Posts!$F$2:$F$300))</f>
        <v/>
      </c>
      <c r="M10" s="11" t="str">
        <f aca="false">IF(A10="","",SUMIFS(Pagos!$D$2:$D$300,Pagos!$B$2:$B$300,A10,Pagos!$F$2:$F$300,"Pagado"))</f>
        <v/>
      </c>
      <c r="N10" s="11" t="str">
        <f aca="false">IF(A10="","",SUMIFS(Pagos!$D$2:$D$300,Pagos!$B$2:$B$300,A10,Pagos!$F$2:$F$300,"Pendiente"))</f>
        <v/>
      </c>
      <c r="O10" s="12" t="str">
        <f aca="false">IF(A10="","",IF(L10=0,"-",M10/L10*1000))</f>
        <v/>
      </c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0" t="str">
        <f aca="false">IF(A11="","",COUNTIF(Posts!$B$2:$B$300,A11))</f>
        <v/>
      </c>
      <c r="L11" s="10" t="str">
        <f aca="false">IF(A11="","",SUMIF(Posts!$B$2:$B$300,A11,Posts!$F$2:$F$300))</f>
        <v/>
      </c>
      <c r="M11" s="11" t="str">
        <f aca="false">IF(A11="","",SUMIFS(Pagos!$D$2:$D$300,Pagos!$B$2:$B$300,A11,Pagos!$F$2:$F$300,"Pagado"))</f>
        <v/>
      </c>
      <c r="N11" s="11" t="str">
        <f aca="false">IF(A11="","",SUMIFS(Pagos!$D$2:$D$300,Pagos!$B$2:$B$300,A11,Pagos!$F$2:$F$300,"Pendiente"))</f>
        <v/>
      </c>
      <c r="O11" s="12" t="str">
        <f aca="false">IF(A11="","",IF(L11=0,"-",M11/L11*1000))</f>
        <v/>
      </c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0" t="str">
        <f aca="false">IF(A12="","",COUNTIF(Posts!$B$2:$B$300,A12))</f>
        <v/>
      </c>
      <c r="L12" s="10" t="str">
        <f aca="false">IF(A12="","",SUMIF(Posts!$B$2:$B$300,A12,Posts!$F$2:$F$300))</f>
        <v/>
      </c>
      <c r="M12" s="11" t="str">
        <f aca="false">IF(A12="","",SUMIFS(Pagos!$D$2:$D$300,Pagos!$B$2:$B$300,A12,Pagos!$F$2:$F$300,"Pagado"))</f>
        <v/>
      </c>
      <c r="N12" s="11" t="str">
        <f aca="false">IF(A12="","",SUMIFS(Pagos!$D$2:$D$300,Pagos!$B$2:$B$300,A12,Pagos!$F$2:$F$300,"Pendiente"))</f>
        <v/>
      </c>
      <c r="O12" s="12" t="str">
        <f aca="false">IF(A12="","",IF(L12=0,"-",M12/L12*1000))</f>
        <v/>
      </c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0" t="str">
        <f aca="false">IF(A13="","",COUNTIF(Posts!$B$2:$B$300,A13))</f>
        <v/>
      </c>
      <c r="L13" s="10" t="str">
        <f aca="false">IF(A13="","",SUMIF(Posts!$B$2:$B$300,A13,Posts!$F$2:$F$300))</f>
        <v/>
      </c>
      <c r="M13" s="11" t="str">
        <f aca="false">IF(A13="","",SUMIFS(Pagos!$D$2:$D$300,Pagos!$B$2:$B$300,A13,Pagos!$F$2:$F$300,"Pagado"))</f>
        <v/>
      </c>
      <c r="N13" s="11" t="str">
        <f aca="false">IF(A13="","",SUMIFS(Pagos!$D$2:$D$300,Pagos!$B$2:$B$300,A13,Pagos!$F$2:$F$300,"Pendiente"))</f>
        <v/>
      </c>
      <c r="O13" s="12" t="str">
        <f aca="false">IF(A13="","",IF(L13=0,"-",M13/L13*1000))</f>
        <v/>
      </c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0" t="str">
        <f aca="false">IF(A14="","",COUNTIF(Posts!$B$2:$B$300,A14))</f>
        <v/>
      </c>
      <c r="L14" s="10" t="str">
        <f aca="false">IF(A14="","",SUMIF(Posts!$B$2:$B$300,A14,Posts!$F$2:$F$300))</f>
        <v/>
      </c>
      <c r="M14" s="11" t="str">
        <f aca="false">IF(A14="","",SUMIFS(Pagos!$D$2:$D$300,Pagos!$B$2:$B$300,A14,Pagos!$F$2:$F$300,"Pagado"))</f>
        <v/>
      </c>
      <c r="N14" s="11" t="str">
        <f aca="false">IF(A14="","",SUMIFS(Pagos!$D$2:$D$300,Pagos!$B$2:$B$300,A14,Pagos!$F$2:$F$300,"Pendiente"))</f>
        <v/>
      </c>
      <c r="O14" s="12" t="str">
        <f aca="false">IF(A14="","",IF(L14=0,"-",M14/L14*1000))</f>
        <v/>
      </c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0" t="str">
        <f aca="false">IF(A15="","",COUNTIF(Posts!$B$2:$B$300,A15))</f>
        <v/>
      </c>
      <c r="L15" s="10" t="str">
        <f aca="false">IF(A15="","",SUMIF(Posts!$B$2:$B$300,A15,Posts!$F$2:$F$300))</f>
        <v/>
      </c>
      <c r="M15" s="11" t="str">
        <f aca="false">IF(A15="","",SUMIFS(Pagos!$D$2:$D$300,Pagos!$B$2:$B$300,A15,Pagos!$F$2:$F$300,"Pagado"))</f>
        <v/>
      </c>
      <c r="N15" s="11" t="str">
        <f aca="false">IF(A15="","",SUMIFS(Pagos!$D$2:$D$300,Pagos!$B$2:$B$300,A15,Pagos!$F$2:$F$300,"Pendiente"))</f>
        <v/>
      </c>
      <c r="O15" s="12" t="str">
        <f aca="false">IF(A15="","",IF(L15=0,"-",M15/L15*1000))</f>
        <v/>
      </c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0" t="str">
        <f aca="false">IF(A16="","",COUNTIF(Posts!$B$2:$B$300,A16))</f>
        <v/>
      </c>
      <c r="L16" s="10" t="str">
        <f aca="false">IF(A16="","",SUMIF(Posts!$B$2:$B$300,A16,Posts!$F$2:$F$300))</f>
        <v/>
      </c>
      <c r="M16" s="11" t="str">
        <f aca="false">IF(A16="","",SUMIFS(Pagos!$D$2:$D$300,Pagos!$B$2:$B$300,A16,Pagos!$F$2:$F$300,"Pagado"))</f>
        <v/>
      </c>
      <c r="N16" s="11" t="str">
        <f aca="false">IF(A16="","",SUMIFS(Pagos!$D$2:$D$300,Pagos!$B$2:$B$300,A16,Pagos!$F$2:$F$300,"Pendiente"))</f>
        <v/>
      </c>
      <c r="O16" s="12" t="str">
        <f aca="false">IF(A16="","",IF(L16=0,"-",M16/L16*1000))</f>
        <v/>
      </c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0" t="str">
        <f aca="false">IF(A17="","",COUNTIF(Posts!$B$2:$B$300,A17))</f>
        <v/>
      </c>
      <c r="L17" s="10" t="str">
        <f aca="false">IF(A17="","",SUMIF(Posts!$B$2:$B$300,A17,Posts!$F$2:$F$300))</f>
        <v/>
      </c>
      <c r="M17" s="11" t="str">
        <f aca="false">IF(A17="","",SUMIFS(Pagos!$D$2:$D$300,Pagos!$B$2:$B$300,A17,Pagos!$F$2:$F$300,"Pagado"))</f>
        <v/>
      </c>
      <c r="N17" s="11" t="str">
        <f aca="false">IF(A17="","",SUMIFS(Pagos!$D$2:$D$300,Pagos!$B$2:$B$300,A17,Pagos!$F$2:$F$300,"Pendiente"))</f>
        <v/>
      </c>
      <c r="O17" s="12" t="str">
        <f aca="false">IF(A17="","",IF(L17=0,"-",M17/L17*1000))</f>
        <v/>
      </c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0" t="str">
        <f aca="false">IF(A18="","",COUNTIF(Posts!$B$2:$B$300,A18))</f>
        <v/>
      </c>
      <c r="L18" s="10" t="str">
        <f aca="false">IF(A18="","",SUMIF(Posts!$B$2:$B$300,A18,Posts!$F$2:$F$300))</f>
        <v/>
      </c>
      <c r="M18" s="11" t="str">
        <f aca="false">IF(A18="","",SUMIFS(Pagos!$D$2:$D$300,Pagos!$B$2:$B$300,A18,Pagos!$F$2:$F$300,"Pagado"))</f>
        <v/>
      </c>
      <c r="N18" s="11" t="str">
        <f aca="false">IF(A18="","",SUMIFS(Pagos!$D$2:$D$300,Pagos!$B$2:$B$300,A18,Pagos!$F$2:$F$300,"Pendiente"))</f>
        <v/>
      </c>
      <c r="O18" s="12" t="str">
        <f aca="false">IF(A18="","",IF(L18=0,"-",M18/L18*1000))</f>
        <v/>
      </c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0" t="str">
        <f aca="false">IF(A19="","",COUNTIF(Posts!$B$2:$B$300,A19))</f>
        <v/>
      </c>
      <c r="L19" s="10" t="str">
        <f aca="false">IF(A19="","",SUMIF(Posts!$B$2:$B$300,A19,Posts!$F$2:$F$300))</f>
        <v/>
      </c>
      <c r="M19" s="11" t="str">
        <f aca="false">IF(A19="","",SUMIFS(Pagos!$D$2:$D$300,Pagos!$B$2:$B$300,A19,Pagos!$F$2:$F$300,"Pagado"))</f>
        <v/>
      </c>
      <c r="N19" s="11" t="str">
        <f aca="false">IF(A19="","",SUMIFS(Pagos!$D$2:$D$300,Pagos!$B$2:$B$300,A19,Pagos!$F$2:$F$300,"Pendiente"))</f>
        <v/>
      </c>
      <c r="O19" s="12" t="str">
        <f aca="false">IF(A19="","",IF(L19=0,"-",M19/L19*1000))</f>
        <v/>
      </c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0" t="str">
        <f aca="false">IF(A20="","",COUNTIF(Posts!$B$2:$B$300,A20))</f>
        <v/>
      </c>
      <c r="L20" s="10" t="str">
        <f aca="false">IF(A20="","",SUMIF(Posts!$B$2:$B$300,A20,Posts!$F$2:$F$300))</f>
        <v/>
      </c>
      <c r="M20" s="11" t="str">
        <f aca="false">IF(A20="","",SUMIFS(Pagos!$D$2:$D$300,Pagos!$B$2:$B$300,A20,Pagos!$F$2:$F$300,"Pagado"))</f>
        <v/>
      </c>
      <c r="N20" s="11" t="str">
        <f aca="false">IF(A20="","",SUMIFS(Pagos!$D$2:$D$300,Pagos!$B$2:$B$300,A20,Pagos!$F$2:$F$300,"Pendiente"))</f>
        <v/>
      </c>
      <c r="O20" s="12" t="str">
        <f aca="false">IF(A20="","",IF(L20=0,"-",M20/L20*1000))</f>
        <v/>
      </c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0" t="str">
        <f aca="false">IF(A21="","",COUNTIF(Posts!$B$2:$B$300,A21))</f>
        <v/>
      </c>
      <c r="L21" s="10" t="str">
        <f aca="false">IF(A21="","",SUMIF(Posts!$B$2:$B$300,A21,Posts!$F$2:$F$300))</f>
        <v/>
      </c>
      <c r="M21" s="11" t="str">
        <f aca="false">IF(A21="","",SUMIFS(Pagos!$D$2:$D$300,Pagos!$B$2:$B$300,A21,Pagos!$F$2:$F$300,"Pagado"))</f>
        <v/>
      </c>
      <c r="N21" s="11" t="str">
        <f aca="false">IF(A21="","",SUMIFS(Pagos!$D$2:$D$300,Pagos!$B$2:$B$300,A21,Pagos!$F$2:$F$300,"Pendiente"))</f>
        <v/>
      </c>
      <c r="O21" s="12" t="str">
        <f aca="false">IF(A21="","",IF(L21=0,"-",M21/L21*1000))</f>
        <v/>
      </c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0" t="str">
        <f aca="false">IF(A22="","",COUNTIF(Posts!$B$2:$B$300,A22))</f>
        <v/>
      </c>
      <c r="L22" s="10" t="str">
        <f aca="false">IF(A22="","",SUMIF(Posts!$B$2:$B$300,A22,Posts!$F$2:$F$300))</f>
        <v/>
      </c>
      <c r="M22" s="11" t="str">
        <f aca="false">IF(A22="","",SUMIFS(Pagos!$D$2:$D$300,Pagos!$B$2:$B$300,A22,Pagos!$F$2:$F$300,"Pagado"))</f>
        <v/>
      </c>
      <c r="N22" s="11" t="str">
        <f aca="false">IF(A22="","",SUMIFS(Pagos!$D$2:$D$300,Pagos!$B$2:$B$300,A22,Pagos!$F$2:$F$300,"Pendiente"))</f>
        <v/>
      </c>
      <c r="O22" s="12" t="str">
        <f aca="false">IF(A22="","",IF(L22=0,"-",M22/L22*1000))</f>
        <v/>
      </c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0" t="str">
        <f aca="false">IF(A23="","",COUNTIF(Posts!$B$2:$B$300,A23))</f>
        <v/>
      </c>
      <c r="L23" s="10" t="str">
        <f aca="false">IF(A23="","",SUMIF(Posts!$B$2:$B$300,A23,Posts!$F$2:$F$300))</f>
        <v/>
      </c>
      <c r="M23" s="11" t="str">
        <f aca="false">IF(A23="","",SUMIFS(Pagos!$D$2:$D$300,Pagos!$B$2:$B$300,A23,Pagos!$F$2:$F$300,"Pagado"))</f>
        <v/>
      </c>
      <c r="N23" s="11" t="str">
        <f aca="false">IF(A23="","",SUMIFS(Pagos!$D$2:$D$300,Pagos!$B$2:$B$300,A23,Pagos!$F$2:$F$300,"Pendiente"))</f>
        <v/>
      </c>
      <c r="O23" s="12" t="str">
        <f aca="false">IF(A23="","",IF(L23=0,"-",M23/L23*1000))</f>
        <v/>
      </c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0" t="str">
        <f aca="false">IF(A24="","",COUNTIF(Posts!$B$2:$B$300,A24))</f>
        <v/>
      </c>
      <c r="L24" s="10" t="str">
        <f aca="false">IF(A24="","",SUMIF(Posts!$B$2:$B$300,A24,Posts!$F$2:$F$300))</f>
        <v/>
      </c>
      <c r="M24" s="11" t="str">
        <f aca="false">IF(A24="","",SUMIFS(Pagos!$D$2:$D$300,Pagos!$B$2:$B$300,A24,Pagos!$F$2:$F$300,"Pagado"))</f>
        <v/>
      </c>
      <c r="N24" s="11" t="str">
        <f aca="false">IF(A24="","",SUMIFS(Pagos!$D$2:$D$300,Pagos!$B$2:$B$300,A24,Pagos!$F$2:$F$300,"Pendiente"))</f>
        <v/>
      </c>
      <c r="O24" s="12" t="str">
        <f aca="false">IF(A24="","",IF(L24=0,"-",M24/L24*1000))</f>
        <v/>
      </c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0" t="str">
        <f aca="false">IF(A25="","",COUNTIF(Posts!$B$2:$B$300,A25))</f>
        <v/>
      </c>
      <c r="L25" s="10" t="str">
        <f aca="false">IF(A25="","",SUMIF(Posts!$B$2:$B$300,A25,Posts!$F$2:$F$300))</f>
        <v/>
      </c>
      <c r="M25" s="11" t="str">
        <f aca="false">IF(A25="","",SUMIFS(Pagos!$D$2:$D$300,Pagos!$B$2:$B$300,A25,Pagos!$F$2:$F$300,"Pagado"))</f>
        <v/>
      </c>
      <c r="N25" s="11" t="str">
        <f aca="false">IF(A25="","",SUMIFS(Pagos!$D$2:$D$300,Pagos!$B$2:$B$300,A25,Pagos!$F$2:$F$300,"Pendiente"))</f>
        <v/>
      </c>
      <c r="O25" s="12" t="str">
        <f aca="false">IF(A25="","",IF(L25=0,"-",M25/L25*1000))</f>
        <v/>
      </c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0" t="str">
        <f aca="false">IF(A26="","",COUNTIF(Posts!$B$2:$B$300,A26))</f>
        <v/>
      </c>
      <c r="L26" s="10" t="str">
        <f aca="false">IF(A26="","",SUMIF(Posts!$B$2:$B$300,A26,Posts!$F$2:$F$300))</f>
        <v/>
      </c>
      <c r="M26" s="11" t="str">
        <f aca="false">IF(A26="","",SUMIFS(Pagos!$D$2:$D$300,Pagos!$B$2:$B$300,A26,Pagos!$F$2:$F$300,"Pagado"))</f>
        <v/>
      </c>
      <c r="N26" s="11" t="str">
        <f aca="false">IF(A26="","",SUMIFS(Pagos!$D$2:$D$300,Pagos!$B$2:$B$300,A26,Pagos!$F$2:$F$300,"Pendiente"))</f>
        <v/>
      </c>
      <c r="O26" s="12" t="str">
        <f aca="false">IF(A26="","",IF(L26=0,"-",M26/L26*1000))</f>
        <v/>
      </c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0" t="str">
        <f aca="false">IF(A27="","",COUNTIF(Posts!$B$2:$B$300,A27))</f>
        <v/>
      </c>
      <c r="L27" s="10" t="str">
        <f aca="false">IF(A27="","",SUMIF(Posts!$B$2:$B$300,A27,Posts!$F$2:$F$300))</f>
        <v/>
      </c>
      <c r="M27" s="11" t="str">
        <f aca="false">IF(A27="","",SUMIFS(Pagos!$D$2:$D$300,Pagos!$B$2:$B$300,A27,Pagos!$F$2:$F$300,"Pagado"))</f>
        <v/>
      </c>
      <c r="N27" s="11" t="str">
        <f aca="false">IF(A27="","",SUMIFS(Pagos!$D$2:$D$300,Pagos!$B$2:$B$300,A27,Pagos!$F$2:$F$300,"Pendiente"))</f>
        <v/>
      </c>
      <c r="O27" s="12" t="str">
        <f aca="false">IF(A27="","",IF(L27=0,"-",M27/L27*1000))</f>
        <v/>
      </c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0" t="str">
        <f aca="false">IF(A28="","",COUNTIF(Posts!$B$2:$B$300,A28))</f>
        <v/>
      </c>
      <c r="L28" s="10" t="str">
        <f aca="false">IF(A28="","",SUMIF(Posts!$B$2:$B$300,A28,Posts!$F$2:$F$300))</f>
        <v/>
      </c>
      <c r="M28" s="11" t="str">
        <f aca="false">IF(A28="","",SUMIFS(Pagos!$D$2:$D$300,Pagos!$B$2:$B$300,A28,Pagos!$F$2:$F$300,"Pagado"))</f>
        <v/>
      </c>
      <c r="N28" s="11" t="str">
        <f aca="false">IF(A28="","",SUMIFS(Pagos!$D$2:$D$300,Pagos!$B$2:$B$300,A28,Pagos!$F$2:$F$300,"Pendiente"))</f>
        <v/>
      </c>
      <c r="O28" s="12" t="str">
        <f aca="false">IF(A28="","",IF(L28=0,"-",M28/L28*1000))</f>
        <v/>
      </c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0" t="str">
        <f aca="false">IF(A29="","",COUNTIF(Posts!$B$2:$B$300,A29))</f>
        <v/>
      </c>
      <c r="L29" s="10" t="str">
        <f aca="false">IF(A29="","",SUMIF(Posts!$B$2:$B$300,A29,Posts!$F$2:$F$300))</f>
        <v/>
      </c>
      <c r="M29" s="11" t="str">
        <f aca="false">IF(A29="","",SUMIFS(Pagos!$D$2:$D$300,Pagos!$B$2:$B$300,A29,Pagos!$F$2:$F$300,"Pagado"))</f>
        <v/>
      </c>
      <c r="N29" s="11" t="str">
        <f aca="false">IF(A29="","",SUMIFS(Pagos!$D$2:$D$300,Pagos!$B$2:$B$300,A29,Pagos!$F$2:$F$300,"Pendiente"))</f>
        <v/>
      </c>
      <c r="O29" s="12" t="str">
        <f aca="false">IF(A29="","",IF(L29=0,"-",M29/L29*1000))</f>
        <v/>
      </c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0" t="str">
        <f aca="false">IF(A30="","",COUNTIF(Posts!$B$2:$B$300,A30))</f>
        <v/>
      </c>
      <c r="L30" s="10" t="str">
        <f aca="false">IF(A30="","",SUMIF(Posts!$B$2:$B$300,A30,Posts!$F$2:$F$300))</f>
        <v/>
      </c>
      <c r="M30" s="11" t="str">
        <f aca="false">IF(A30="","",SUMIFS(Pagos!$D$2:$D$300,Pagos!$B$2:$B$300,A30,Pagos!$F$2:$F$300,"Pagado"))</f>
        <v/>
      </c>
      <c r="N30" s="11" t="str">
        <f aca="false">IF(A30="","",SUMIFS(Pagos!$D$2:$D$300,Pagos!$B$2:$B$300,A30,Pagos!$F$2:$F$300,"Pendiente"))</f>
        <v/>
      </c>
      <c r="O30" s="12" t="str">
        <f aca="false">IF(A30="","",IF(L30=0,"-",M30/L30*1000))</f>
        <v/>
      </c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0" t="str">
        <f aca="false">IF(A31="","",COUNTIF(Posts!$B$2:$B$300,A31))</f>
        <v/>
      </c>
      <c r="L31" s="10" t="str">
        <f aca="false">IF(A31="","",SUMIF(Posts!$B$2:$B$300,A31,Posts!$F$2:$F$300))</f>
        <v/>
      </c>
      <c r="M31" s="11" t="str">
        <f aca="false">IF(A31="","",SUMIFS(Pagos!$D$2:$D$300,Pagos!$B$2:$B$300,A31,Pagos!$F$2:$F$300,"Pagado"))</f>
        <v/>
      </c>
      <c r="N31" s="11" t="str">
        <f aca="false">IF(A31="","",SUMIFS(Pagos!$D$2:$D$300,Pagos!$B$2:$B$300,A31,Pagos!$F$2:$F$300,"Pendiente"))</f>
        <v/>
      </c>
      <c r="O31" s="12" t="str">
        <f aca="false">IF(A31="","",IF(L31=0,"-",M31/L31*1000))</f>
        <v/>
      </c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0" t="str">
        <f aca="false">IF(A32="","",COUNTIF(Posts!$B$2:$B$300,A32))</f>
        <v/>
      </c>
      <c r="L32" s="10" t="str">
        <f aca="false">IF(A32="","",SUMIF(Posts!$B$2:$B$300,A32,Posts!$F$2:$F$300))</f>
        <v/>
      </c>
      <c r="M32" s="11" t="str">
        <f aca="false">IF(A32="","",SUMIFS(Pagos!$D$2:$D$300,Pagos!$B$2:$B$300,A32,Pagos!$F$2:$F$300,"Pagado"))</f>
        <v/>
      </c>
      <c r="N32" s="11" t="str">
        <f aca="false">IF(A32="","",SUMIFS(Pagos!$D$2:$D$300,Pagos!$B$2:$B$300,A32,Pagos!$F$2:$F$300,"Pendiente"))</f>
        <v/>
      </c>
      <c r="O32" s="12" t="str">
        <f aca="false">IF(A32="","",IF(L32=0,"-",M32/L32*1000))</f>
        <v/>
      </c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0" t="str">
        <f aca="false">IF(A33="","",COUNTIF(Posts!$B$2:$B$300,A33))</f>
        <v/>
      </c>
      <c r="L33" s="10" t="str">
        <f aca="false">IF(A33="","",SUMIF(Posts!$B$2:$B$300,A33,Posts!$F$2:$F$300))</f>
        <v/>
      </c>
      <c r="M33" s="11" t="str">
        <f aca="false">IF(A33="","",SUMIFS(Pagos!$D$2:$D$300,Pagos!$B$2:$B$300,A33,Pagos!$F$2:$F$300,"Pagado"))</f>
        <v/>
      </c>
      <c r="N33" s="11" t="str">
        <f aca="false">IF(A33="","",SUMIFS(Pagos!$D$2:$D$300,Pagos!$B$2:$B$300,A33,Pagos!$F$2:$F$300,"Pendiente"))</f>
        <v/>
      </c>
      <c r="O33" s="12" t="str">
        <f aca="false">IF(A33="","",IF(L33=0,"-",M33/L33*1000))</f>
        <v/>
      </c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0" t="str">
        <f aca="false">IF(A34="","",COUNTIF(Posts!$B$2:$B$300,A34))</f>
        <v/>
      </c>
      <c r="L34" s="10" t="str">
        <f aca="false">IF(A34="","",SUMIF(Posts!$B$2:$B$300,A34,Posts!$F$2:$F$300))</f>
        <v/>
      </c>
      <c r="M34" s="11" t="str">
        <f aca="false">IF(A34="","",SUMIFS(Pagos!$D$2:$D$300,Pagos!$B$2:$B$300,A34,Pagos!$F$2:$F$300,"Pagado"))</f>
        <v/>
      </c>
      <c r="N34" s="11" t="str">
        <f aca="false">IF(A34="","",SUMIFS(Pagos!$D$2:$D$300,Pagos!$B$2:$B$300,A34,Pagos!$F$2:$F$300,"Pendiente"))</f>
        <v/>
      </c>
      <c r="O34" s="12" t="str">
        <f aca="false">IF(A34="","",IF(L34=0,"-",M34/L34*1000))</f>
        <v/>
      </c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0" t="str">
        <f aca="false">IF(A35="","",COUNTIF(Posts!$B$2:$B$300,A35))</f>
        <v/>
      </c>
      <c r="L35" s="10" t="str">
        <f aca="false">IF(A35="","",SUMIF(Posts!$B$2:$B$300,A35,Posts!$F$2:$F$300))</f>
        <v/>
      </c>
      <c r="M35" s="11" t="str">
        <f aca="false">IF(A35="","",SUMIFS(Pagos!$D$2:$D$300,Pagos!$B$2:$B$300,A35,Pagos!$F$2:$F$300,"Pagado"))</f>
        <v/>
      </c>
      <c r="N35" s="11" t="str">
        <f aca="false">IF(A35="","",SUMIFS(Pagos!$D$2:$D$300,Pagos!$B$2:$B$300,A35,Pagos!$F$2:$F$300,"Pendiente"))</f>
        <v/>
      </c>
      <c r="O35" s="12" t="str">
        <f aca="false">IF(A35="","",IF(L35=0,"-",M35/L35*1000))</f>
        <v/>
      </c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0" t="str">
        <f aca="false">IF(A36="","",COUNTIF(Posts!$B$2:$B$300,A36))</f>
        <v/>
      </c>
      <c r="L36" s="10" t="str">
        <f aca="false">IF(A36="","",SUMIF(Posts!$B$2:$B$300,A36,Posts!$F$2:$F$300))</f>
        <v/>
      </c>
      <c r="M36" s="11" t="str">
        <f aca="false">IF(A36="","",SUMIFS(Pagos!$D$2:$D$300,Pagos!$B$2:$B$300,A36,Pagos!$F$2:$F$300,"Pagado"))</f>
        <v/>
      </c>
      <c r="N36" s="11" t="str">
        <f aca="false">IF(A36="","",SUMIFS(Pagos!$D$2:$D$300,Pagos!$B$2:$B$300,A36,Pagos!$F$2:$F$300,"Pendiente"))</f>
        <v/>
      </c>
      <c r="O36" s="12" t="str">
        <f aca="false">IF(A36="","",IF(L36=0,"-",M36/L36*1000))</f>
        <v/>
      </c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0" t="str">
        <f aca="false">IF(A37="","",COUNTIF(Posts!$B$2:$B$300,A37))</f>
        <v/>
      </c>
      <c r="L37" s="10" t="str">
        <f aca="false">IF(A37="","",SUMIF(Posts!$B$2:$B$300,A37,Posts!$F$2:$F$300))</f>
        <v/>
      </c>
      <c r="M37" s="11" t="str">
        <f aca="false">IF(A37="","",SUMIFS(Pagos!$D$2:$D$300,Pagos!$B$2:$B$300,A37,Pagos!$F$2:$F$300,"Pagado"))</f>
        <v/>
      </c>
      <c r="N37" s="11" t="str">
        <f aca="false">IF(A37="","",SUMIFS(Pagos!$D$2:$D$300,Pagos!$B$2:$B$300,A37,Pagos!$F$2:$F$300,"Pendiente"))</f>
        <v/>
      </c>
      <c r="O37" s="12" t="str">
        <f aca="false">IF(A37="","",IF(L37=0,"-",M37/L37*1000))</f>
        <v/>
      </c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0" t="str">
        <f aca="false">IF(A38="","",COUNTIF(Posts!$B$2:$B$300,A38))</f>
        <v/>
      </c>
      <c r="L38" s="10" t="str">
        <f aca="false">IF(A38="","",SUMIF(Posts!$B$2:$B$300,A38,Posts!$F$2:$F$300))</f>
        <v/>
      </c>
      <c r="M38" s="11" t="str">
        <f aca="false">IF(A38="","",SUMIFS(Pagos!$D$2:$D$300,Pagos!$B$2:$B$300,A38,Pagos!$F$2:$F$300,"Pagado"))</f>
        <v/>
      </c>
      <c r="N38" s="11" t="str">
        <f aca="false">IF(A38="","",SUMIFS(Pagos!$D$2:$D$300,Pagos!$B$2:$B$300,A38,Pagos!$F$2:$F$300,"Pendiente"))</f>
        <v/>
      </c>
      <c r="O38" s="12" t="str">
        <f aca="false">IF(A38="","",IF(L38=0,"-",M38/L38*1000))</f>
        <v/>
      </c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0" t="str">
        <f aca="false">IF(A39="","",COUNTIF(Posts!$B$2:$B$300,A39))</f>
        <v/>
      </c>
      <c r="L39" s="10" t="str">
        <f aca="false">IF(A39="","",SUMIF(Posts!$B$2:$B$300,A39,Posts!$F$2:$F$300))</f>
        <v/>
      </c>
      <c r="M39" s="11" t="str">
        <f aca="false">IF(A39="","",SUMIFS(Pagos!$D$2:$D$300,Pagos!$B$2:$B$300,A39,Pagos!$F$2:$F$300,"Pagado"))</f>
        <v/>
      </c>
      <c r="N39" s="11" t="str">
        <f aca="false">IF(A39="","",SUMIFS(Pagos!$D$2:$D$300,Pagos!$B$2:$B$300,A39,Pagos!$F$2:$F$300,"Pendiente"))</f>
        <v/>
      </c>
      <c r="O39" s="12" t="str">
        <f aca="false">IF(A39="","",IF(L39=0,"-",M39/L39*1000))</f>
        <v/>
      </c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0" t="str">
        <f aca="false">IF(A40="","",COUNTIF(Posts!$B$2:$B$300,A40))</f>
        <v/>
      </c>
      <c r="L40" s="10" t="str">
        <f aca="false">IF(A40="","",SUMIF(Posts!$B$2:$B$300,A40,Posts!$F$2:$F$300))</f>
        <v/>
      </c>
      <c r="M40" s="11" t="str">
        <f aca="false">IF(A40="","",SUMIFS(Pagos!$D$2:$D$300,Pagos!$B$2:$B$300,A40,Pagos!$F$2:$F$300,"Pagado"))</f>
        <v/>
      </c>
      <c r="N40" s="11" t="str">
        <f aca="false">IF(A40="","",SUMIFS(Pagos!$D$2:$D$300,Pagos!$B$2:$B$300,A40,Pagos!$F$2:$F$300,"Pendiente"))</f>
        <v/>
      </c>
      <c r="O40" s="12" t="str">
        <f aca="false">IF(A40="","",IF(L40=0,"-",M40/L40*1000))</f>
        <v/>
      </c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0" t="str">
        <f aca="false">IF(A41="","",COUNTIF(Posts!$B$2:$B$300,A41))</f>
        <v/>
      </c>
      <c r="L41" s="10" t="str">
        <f aca="false">IF(A41="","",SUMIF(Posts!$B$2:$B$300,A41,Posts!$F$2:$F$300))</f>
        <v/>
      </c>
      <c r="M41" s="11" t="str">
        <f aca="false">IF(A41="","",SUMIFS(Pagos!$D$2:$D$300,Pagos!$B$2:$B$300,A41,Pagos!$F$2:$F$300,"Pagado"))</f>
        <v/>
      </c>
      <c r="N41" s="11" t="str">
        <f aca="false">IF(A41="","",SUMIFS(Pagos!$D$2:$D$300,Pagos!$B$2:$B$300,A41,Pagos!$F$2:$F$300,"Pendiente"))</f>
        <v/>
      </c>
      <c r="O41" s="12" t="str">
        <f aca="false">IF(A41="","",IF(L41=0,"-",M41/L41*1000))</f>
        <v/>
      </c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0" t="str">
        <f aca="false">IF(A42="","",COUNTIF(Posts!$B$2:$B$300,A42))</f>
        <v/>
      </c>
      <c r="L42" s="10" t="str">
        <f aca="false">IF(A42="","",SUMIF(Posts!$B$2:$B$300,A42,Posts!$F$2:$F$300))</f>
        <v/>
      </c>
      <c r="M42" s="11" t="str">
        <f aca="false">IF(A42="","",SUMIFS(Pagos!$D$2:$D$300,Pagos!$B$2:$B$300,A42,Pagos!$F$2:$F$300,"Pagado"))</f>
        <v/>
      </c>
      <c r="N42" s="11" t="str">
        <f aca="false">IF(A42="","",SUMIFS(Pagos!$D$2:$D$300,Pagos!$B$2:$B$300,A42,Pagos!$F$2:$F$300,"Pendiente"))</f>
        <v/>
      </c>
      <c r="O42" s="12" t="str">
        <f aca="false">IF(A42="","",IF(L42=0,"-",M42/L42*1000))</f>
        <v/>
      </c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0" t="str">
        <f aca="false">IF(A43="","",COUNTIF(Posts!$B$2:$B$300,A43))</f>
        <v/>
      </c>
      <c r="L43" s="10" t="str">
        <f aca="false">IF(A43="","",SUMIF(Posts!$B$2:$B$300,A43,Posts!$F$2:$F$300))</f>
        <v/>
      </c>
      <c r="M43" s="11" t="str">
        <f aca="false">IF(A43="","",SUMIFS(Pagos!$D$2:$D$300,Pagos!$B$2:$B$300,A43,Pagos!$F$2:$F$300,"Pagado"))</f>
        <v/>
      </c>
      <c r="N43" s="11" t="str">
        <f aca="false">IF(A43="","",SUMIFS(Pagos!$D$2:$D$300,Pagos!$B$2:$B$300,A43,Pagos!$F$2:$F$300,"Pendiente"))</f>
        <v/>
      </c>
      <c r="O43" s="12" t="str">
        <f aca="false">IF(A43="","",IF(L43=0,"-",M43/L43*1000))</f>
        <v/>
      </c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0" t="str">
        <f aca="false">IF(A44="","",COUNTIF(Posts!$B$2:$B$300,A44))</f>
        <v/>
      </c>
      <c r="L44" s="10" t="str">
        <f aca="false">IF(A44="","",SUMIF(Posts!$B$2:$B$300,A44,Posts!$F$2:$F$300))</f>
        <v/>
      </c>
      <c r="M44" s="11" t="str">
        <f aca="false">IF(A44="","",SUMIFS(Pagos!$D$2:$D$300,Pagos!$B$2:$B$300,A44,Pagos!$F$2:$F$300,"Pagado"))</f>
        <v/>
      </c>
      <c r="N44" s="11" t="str">
        <f aca="false">IF(A44="","",SUMIFS(Pagos!$D$2:$D$300,Pagos!$B$2:$B$300,A44,Pagos!$F$2:$F$300,"Pendiente"))</f>
        <v/>
      </c>
      <c r="O44" s="12" t="str">
        <f aca="false">IF(A44="","",IF(L44=0,"-",M44/L44*1000))</f>
        <v/>
      </c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0" t="str">
        <f aca="false">IF(A45="","",COUNTIF(Posts!$B$2:$B$300,A45))</f>
        <v/>
      </c>
      <c r="L45" s="10" t="str">
        <f aca="false">IF(A45="","",SUMIF(Posts!$B$2:$B$300,A45,Posts!$F$2:$F$300))</f>
        <v/>
      </c>
      <c r="M45" s="11" t="str">
        <f aca="false">IF(A45="","",SUMIFS(Pagos!$D$2:$D$300,Pagos!$B$2:$B$300,A45,Pagos!$F$2:$F$300,"Pagado"))</f>
        <v/>
      </c>
      <c r="N45" s="11" t="str">
        <f aca="false">IF(A45="","",SUMIFS(Pagos!$D$2:$D$300,Pagos!$B$2:$B$300,A45,Pagos!$F$2:$F$300,"Pendiente"))</f>
        <v/>
      </c>
      <c r="O45" s="12" t="str">
        <f aca="false">IF(A45="","",IF(L45=0,"-",M45/L45*1000))</f>
        <v/>
      </c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0" t="str">
        <f aca="false">IF(A46="","",COUNTIF(Posts!$B$2:$B$300,A46))</f>
        <v/>
      </c>
      <c r="L46" s="10" t="str">
        <f aca="false">IF(A46="","",SUMIF(Posts!$B$2:$B$300,A46,Posts!$F$2:$F$300))</f>
        <v/>
      </c>
      <c r="M46" s="11" t="str">
        <f aca="false">IF(A46="","",SUMIFS(Pagos!$D$2:$D$300,Pagos!$B$2:$B$300,A46,Pagos!$F$2:$F$300,"Pagado"))</f>
        <v/>
      </c>
      <c r="N46" s="11" t="str">
        <f aca="false">IF(A46="","",SUMIFS(Pagos!$D$2:$D$300,Pagos!$B$2:$B$300,A46,Pagos!$F$2:$F$300,"Pendiente"))</f>
        <v/>
      </c>
      <c r="O46" s="12" t="str">
        <f aca="false">IF(A46="","",IF(L46=0,"-",M46/L46*1000))</f>
        <v/>
      </c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0" t="str">
        <f aca="false">IF(A47="","",COUNTIF(Posts!$B$2:$B$300,A47))</f>
        <v/>
      </c>
      <c r="L47" s="10" t="str">
        <f aca="false">IF(A47="","",SUMIF(Posts!$B$2:$B$300,A47,Posts!$F$2:$F$300))</f>
        <v/>
      </c>
      <c r="M47" s="11" t="str">
        <f aca="false">IF(A47="","",SUMIFS(Pagos!$D$2:$D$300,Pagos!$B$2:$B$300,A47,Pagos!$F$2:$F$300,"Pagado"))</f>
        <v/>
      </c>
      <c r="N47" s="11" t="str">
        <f aca="false">IF(A47="","",SUMIFS(Pagos!$D$2:$D$300,Pagos!$B$2:$B$300,A47,Pagos!$F$2:$F$300,"Pendiente"))</f>
        <v/>
      </c>
      <c r="O47" s="12" t="str">
        <f aca="false">IF(A47="","",IF(L47=0,"-",M47/L47*1000))</f>
        <v/>
      </c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0" t="str">
        <f aca="false">IF(A48="","",COUNTIF(Posts!$B$2:$B$300,A48))</f>
        <v/>
      </c>
      <c r="L48" s="10" t="str">
        <f aca="false">IF(A48="","",SUMIF(Posts!$B$2:$B$300,A48,Posts!$F$2:$F$300))</f>
        <v/>
      </c>
      <c r="M48" s="11" t="str">
        <f aca="false">IF(A48="","",SUMIFS(Pagos!$D$2:$D$300,Pagos!$B$2:$B$300,A48,Pagos!$F$2:$F$300,"Pagado"))</f>
        <v/>
      </c>
      <c r="N48" s="11" t="str">
        <f aca="false">IF(A48="","",SUMIFS(Pagos!$D$2:$D$300,Pagos!$B$2:$B$300,A48,Pagos!$F$2:$F$300,"Pendiente"))</f>
        <v/>
      </c>
      <c r="O48" s="12" t="str">
        <f aca="false">IF(A48="","",IF(L48=0,"-",M48/L48*1000))</f>
        <v/>
      </c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0" t="str">
        <f aca="false">IF(A49="","",COUNTIF(Posts!$B$2:$B$300,A49))</f>
        <v/>
      </c>
      <c r="L49" s="10" t="str">
        <f aca="false">IF(A49="","",SUMIF(Posts!$B$2:$B$300,A49,Posts!$F$2:$F$300))</f>
        <v/>
      </c>
      <c r="M49" s="11" t="str">
        <f aca="false">IF(A49="","",SUMIFS(Pagos!$D$2:$D$300,Pagos!$B$2:$B$300,A49,Pagos!$F$2:$F$300,"Pagado"))</f>
        <v/>
      </c>
      <c r="N49" s="11" t="str">
        <f aca="false">IF(A49="","",SUMIFS(Pagos!$D$2:$D$300,Pagos!$B$2:$B$300,A49,Pagos!$F$2:$F$300,"Pendiente"))</f>
        <v/>
      </c>
      <c r="O49" s="12" t="str">
        <f aca="false">IF(A49="","",IF(L49=0,"-",M49/L49*1000))</f>
        <v/>
      </c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0" t="str">
        <f aca="false">IF(A50="","",COUNTIF(Posts!$B$2:$B$300,A50))</f>
        <v/>
      </c>
      <c r="L50" s="10" t="str">
        <f aca="false">IF(A50="","",SUMIF(Posts!$B$2:$B$300,A50,Posts!$F$2:$F$300))</f>
        <v/>
      </c>
      <c r="M50" s="11" t="str">
        <f aca="false">IF(A50="","",SUMIFS(Pagos!$D$2:$D$300,Pagos!$B$2:$B$300,A50,Pagos!$F$2:$F$300,"Pagado"))</f>
        <v/>
      </c>
      <c r="N50" s="11" t="str">
        <f aca="false">IF(A50="","",SUMIFS(Pagos!$D$2:$D$300,Pagos!$B$2:$B$300,A50,Pagos!$F$2:$F$300,"Pendiente"))</f>
        <v/>
      </c>
      <c r="O50" s="12" t="str">
        <f aca="false">IF(A50="","",IF(L50=0,"-",M50/L50*1000))</f>
        <v/>
      </c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0" t="str">
        <f aca="false">IF(A51="","",COUNTIF(Posts!$B$2:$B$300,A51))</f>
        <v/>
      </c>
      <c r="L51" s="10" t="str">
        <f aca="false">IF(A51="","",SUMIF(Posts!$B$2:$B$300,A51,Posts!$F$2:$F$300))</f>
        <v/>
      </c>
      <c r="M51" s="11" t="str">
        <f aca="false">IF(A51="","",SUMIFS(Pagos!$D$2:$D$300,Pagos!$B$2:$B$300,A51,Pagos!$F$2:$F$300,"Pagado"))</f>
        <v/>
      </c>
      <c r="N51" s="11" t="str">
        <f aca="false">IF(A51="","",SUMIFS(Pagos!$D$2:$D$300,Pagos!$B$2:$B$300,A51,Pagos!$F$2:$F$300,"Pendiente"))</f>
        <v/>
      </c>
      <c r="O51" s="12" t="str">
        <f aca="false">IF(A51="","",IF(L51=0,"-",M51/L51*1000))</f>
        <v/>
      </c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0" t="str">
        <f aca="false">IF(A52="","",COUNTIF(Posts!$B$2:$B$300,A52))</f>
        <v/>
      </c>
      <c r="L52" s="10" t="str">
        <f aca="false">IF(A52="","",SUMIF(Posts!$B$2:$B$300,A52,Posts!$F$2:$F$300))</f>
        <v/>
      </c>
      <c r="M52" s="11" t="str">
        <f aca="false">IF(A52="","",SUMIFS(Pagos!$D$2:$D$300,Pagos!$B$2:$B$300,A52,Pagos!$F$2:$F$300,"Pagado"))</f>
        <v/>
      </c>
      <c r="N52" s="11" t="str">
        <f aca="false">IF(A52="","",SUMIFS(Pagos!$D$2:$D$300,Pagos!$B$2:$B$300,A52,Pagos!$F$2:$F$300,"Pendiente"))</f>
        <v/>
      </c>
      <c r="O52" s="12" t="str">
        <f aca="false">IF(A52="","",IF(L52=0,"-",M52/L52*1000))</f>
        <v/>
      </c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0" t="str">
        <f aca="false">IF(A53="","",COUNTIF(Posts!$B$2:$B$300,A53))</f>
        <v/>
      </c>
      <c r="L53" s="10" t="str">
        <f aca="false">IF(A53="","",SUMIF(Posts!$B$2:$B$300,A53,Posts!$F$2:$F$300))</f>
        <v/>
      </c>
      <c r="M53" s="11" t="str">
        <f aca="false">IF(A53="","",SUMIFS(Pagos!$D$2:$D$300,Pagos!$B$2:$B$300,A53,Pagos!$F$2:$F$300,"Pagado"))</f>
        <v/>
      </c>
      <c r="N53" s="11" t="str">
        <f aca="false">IF(A53="","",SUMIFS(Pagos!$D$2:$D$300,Pagos!$B$2:$B$300,A53,Pagos!$F$2:$F$300,"Pendiente"))</f>
        <v/>
      </c>
      <c r="O53" s="12" t="str">
        <f aca="false">IF(A53="","",IF(L53=0,"-",M53/L53*1000))</f>
        <v/>
      </c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0" t="str">
        <f aca="false">IF(A54="","",COUNTIF(Posts!$B$2:$B$300,A54))</f>
        <v/>
      </c>
      <c r="L54" s="10" t="str">
        <f aca="false">IF(A54="","",SUMIF(Posts!$B$2:$B$300,A54,Posts!$F$2:$F$300))</f>
        <v/>
      </c>
      <c r="M54" s="11" t="str">
        <f aca="false">IF(A54="","",SUMIFS(Pagos!$D$2:$D$300,Pagos!$B$2:$B$300,A54,Pagos!$F$2:$F$300,"Pagado"))</f>
        <v/>
      </c>
      <c r="N54" s="11" t="str">
        <f aca="false">IF(A54="","",SUMIFS(Pagos!$D$2:$D$300,Pagos!$B$2:$B$300,A54,Pagos!$F$2:$F$300,"Pendiente"))</f>
        <v/>
      </c>
      <c r="O54" s="12" t="str">
        <f aca="false">IF(A54="","",IF(L54=0,"-",M54/L54*1000))</f>
        <v/>
      </c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0" t="str">
        <f aca="false">IF(A55="","",COUNTIF(Posts!$B$2:$B$300,A55))</f>
        <v/>
      </c>
      <c r="L55" s="10" t="str">
        <f aca="false">IF(A55="","",SUMIF(Posts!$B$2:$B$300,A55,Posts!$F$2:$F$300))</f>
        <v/>
      </c>
      <c r="M55" s="11" t="str">
        <f aca="false">IF(A55="","",SUMIFS(Pagos!$D$2:$D$300,Pagos!$B$2:$B$300,A55,Pagos!$F$2:$F$300,"Pagado"))</f>
        <v/>
      </c>
      <c r="N55" s="11" t="str">
        <f aca="false">IF(A55="","",SUMIFS(Pagos!$D$2:$D$300,Pagos!$B$2:$B$300,A55,Pagos!$F$2:$F$300,"Pendiente"))</f>
        <v/>
      </c>
      <c r="O55" s="12" t="str">
        <f aca="false">IF(A55="","",IF(L55=0,"-",M55/L55*1000))</f>
        <v/>
      </c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0" t="str">
        <f aca="false">IF(A56="","",COUNTIF(Posts!$B$2:$B$300,A56))</f>
        <v/>
      </c>
      <c r="L56" s="10" t="str">
        <f aca="false">IF(A56="","",SUMIF(Posts!$B$2:$B$300,A56,Posts!$F$2:$F$300))</f>
        <v/>
      </c>
      <c r="M56" s="11" t="str">
        <f aca="false">IF(A56="","",SUMIFS(Pagos!$D$2:$D$300,Pagos!$B$2:$B$300,A56,Pagos!$F$2:$F$300,"Pagado"))</f>
        <v/>
      </c>
      <c r="N56" s="11" t="str">
        <f aca="false">IF(A56="","",SUMIFS(Pagos!$D$2:$D$300,Pagos!$B$2:$B$300,A56,Pagos!$F$2:$F$300,"Pendiente"))</f>
        <v/>
      </c>
      <c r="O56" s="12" t="str">
        <f aca="false">IF(A56="","",IF(L56=0,"-",M56/L56*1000))</f>
        <v/>
      </c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0" t="str">
        <f aca="false">IF(A57="","",COUNTIF(Posts!$B$2:$B$300,A57))</f>
        <v/>
      </c>
      <c r="L57" s="10" t="str">
        <f aca="false">IF(A57="","",SUMIF(Posts!$B$2:$B$300,A57,Posts!$F$2:$F$300))</f>
        <v/>
      </c>
      <c r="M57" s="11" t="str">
        <f aca="false">IF(A57="","",SUMIFS(Pagos!$D$2:$D$300,Pagos!$B$2:$B$300,A57,Pagos!$F$2:$F$300,"Pagado"))</f>
        <v/>
      </c>
      <c r="N57" s="11" t="str">
        <f aca="false">IF(A57="","",SUMIFS(Pagos!$D$2:$D$300,Pagos!$B$2:$B$300,A57,Pagos!$F$2:$F$300,"Pendiente"))</f>
        <v/>
      </c>
      <c r="O57" s="12" t="str">
        <f aca="false">IF(A57="","",IF(L57=0,"-",M57/L57*1000))</f>
        <v/>
      </c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0" t="str">
        <f aca="false">IF(A58="","",COUNTIF(Posts!$B$2:$B$300,A58))</f>
        <v/>
      </c>
      <c r="L58" s="10" t="str">
        <f aca="false">IF(A58="","",SUMIF(Posts!$B$2:$B$300,A58,Posts!$F$2:$F$300))</f>
        <v/>
      </c>
      <c r="M58" s="11" t="str">
        <f aca="false">IF(A58="","",SUMIFS(Pagos!$D$2:$D$300,Pagos!$B$2:$B$300,A58,Pagos!$F$2:$F$300,"Pagado"))</f>
        <v/>
      </c>
      <c r="N58" s="11" t="str">
        <f aca="false">IF(A58="","",SUMIFS(Pagos!$D$2:$D$300,Pagos!$B$2:$B$300,A58,Pagos!$F$2:$F$300,"Pendiente"))</f>
        <v/>
      </c>
      <c r="O58" s="12" t="str">
        <f aca="false">IF(A58="","",IF(L58=0,"-",M58/L58*1000))</f>
        <v/>
      </c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0" t="str">
        <f aca="false">IF(A59="","",COUNTIF(Posts!$B$2:$B$300,A59))</f>
        <v/>
      </c>
      <c r="L59" s="10" t="str">
        <f aca="false">IF(A59="","",SUMIF(Posts!$B$2:$B$300,A59,Posts!$F$2:$F$300))</f>
        <v/>
      </c>
      <c r="M59" s="11" t="str">
        <f aca="false">IF(A59="","",SUMIFS(Pagos!$D$2:$D$300,Pagos!$B$2:$B$300,A59,Pagos!$F$2:$F$300,"Pagado"))</f>
        <v/>
      </c>
      <c r="N59" s="11" t="str">
        <f aca="false">IF(A59="","",SUMIFS(Pagos!$D$2:$D$300,Pagos!$B$2:$B$300,A59,Pagos!$F$2:$F$300,"Pendiente"))</f>
        <v/>
      </c>
      <c r="O59" s="12" t="str">
        <f aca="false">IF(A59="","",IF(L59=0,"-",M59/L59*1000))</f>
        <v/>
      </c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0" t="str">
        <f aca="false">IF(A60="","",COUNTIF(Posts!$B$2:$B$300,A60))</f>
        <v/>
      </c>
      <c r="L60" s="10" t="str">
        <f aca="false">IF(A60="","",SUMIF(Posts!$B$2:$B$300,A60,Posts!$F$2:$F$300))</f>
        <v/>
      </c>
      <c r="M60" s="11" t="str">
        <f aca="false">IF(A60="","",SUMIFS(Pagos!$D$2:$D$300,Pagos!$B$2:$B$300,A60,Pagos!$F$2:$F$300,"Pagado"))</f>
        <v/>
      </c>
      <c r="N60" s="11" t="str">
        <f aca="false">IF(A60="","",SUMIFS(Pagos!$D$2:$D$300,Pagos!$B$2:$B$300,A60,Pagos!$F$2:$F$300,"Pendiente"))</f>
        <v/>
      </c>
      <c r="O60" s="12" t="str">
        <f aca="false">IF(A60="","",IF(L60=0,"-",M60/L60*1000))</f>
        <v/>
      </c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0" t="str">
        <f aca="false">IF(A61="","",COUNTIF(Posts!$B$2:$B$300,A61))</f>
        <v/>
      </c>
      <c r="L61" s="10" t="str">
        <f aca="false">IF(A61="","",SUMIF(Posts!$B$2:$B$300,A61,Posts!$F$2:$F$300))</f>
        <v/>
      </c>
      <c r="M61" s="11" t="str">
        <f aca="false">IF(A61="","",SUMIFS(Pagos!$D$2:$D$300,Pagos!$B$2:$B$300,A61,Pagos!$F$2:$F$300,"Pagado"))</f>
        <v/>
      </c>
      <c r="N61" s="11" t="str">
        <f aca="false">IF(A61="","",SUMIFS(Pagos!$D$2:$D$300,Pagos!$B$2:$B$300,A61,Pagos!$F$2:$F$300,"Pendiente"))</f>
        <v/>
      </c>
      <c r="O61" s="12" t="str">
        <f aca="false">IF(A61="","",IF(L61=0,"-",M61/L61*1000))</f>
        <v/>
      </c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0" t="str">
        <f aca="false">IF(A62="","",COUNTIF(Posts!$B$2:$B$300,A62))</f>
        <v/>
      </c>
      <c r="L62" s="10" t="str">
        <f aca="false">IF(A62="","",SUMIF(Posts!$B$2:$B$300,A62,Posts!$F$2:$F$300))</f>
        <v/>
      </c>
      <c r="M62" s="11" t="str">
        <f aca="false">IF(A62="","",SUMIFS(Pagos!$D$2:$D$300,Pagos!$B$2:$B$300,A62,Pagos!$F$2:$F$300,"Pagado"))</f>
        <v/>
      </c>
      <c r="N62" s="11" t="str">
        <f aca="false">IF(A62="","",SUMIFS(Pagos!$D$2:$D$300,Pagos!$B$2:$B$300,A62,Pagos!$F$2:$F$300,"Pendiente"))</f>
        <v/>
      </c>
      <c r="O62" s="12" t="str">
        <f aca="false">IF(A62="","",IF(L62=0,"-",M62/L62*1000))</f>
        <v/>
      </c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0" t="str">
        <f aca="false">IF(A63="","",COUNTIF(Posts!$B$2:$B$300,A63))</f>
        <v/>
      </c>
      <c r="L63" s="10" t="str">
        <f aca="false">IF(A63="","",SUMIF(Posts!$B$2:$B$300,A63,Posts!$F$2:$F$300))</f>
        <v/>
      </c>
      <c r="M63" s="11" t="str">
        <f aca="false">IF(A63="","",SUMIFS(Pagos!$D$2:$D$300,Pagos!$B$2:$B$300,A63,Pagos!$F$2:$F$300,"Pagado"))</f>
        <v/>
      </c>
      <c r="N63" s="11" t="str">
        <f aca="false">IF(A63="","",SUMIFS(Pagos!$D$2:$D$300,Pagos!$B$2:$B$300,A63,Pagos!$F$2:$F$300,"Pendiente"))</f>
        <v/>
      </c>
      <c r="O63" s="12" t="str">
        <f aca="false">IF(A63="","",IF(L63=0,"-",M63/L63*1000))</f>
        <v/>
      </c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0" t="str">
        <f aca="false">IF(A64="","",COUNTIF(Posts!$B$2:$B$300,A64))</f>
        <v/>
      </c>
      <c r="L64" s="10" t="str">
        <f aca="false">IF(A64="","",SUMIF(Posts!$B$2:$B$300,A64,Posts!$F$2:$F$300))</f>
        <v/>
      </c>
      <c r="M64" s="11" t="str">
        <f aca="false">IF(A64="","",SUMIFS(Pagos!$D$2:$D$300,Pagos!$B$2:$B$300,A64,Pagos!$F$2:$F$300,"Pagado"))</f>
        <v/>
      </c>
      <c r="N64" s="11" t="str">
        <f aca="false">IF(A64="","",SUMIFS(Pagos!$D$2:$D$300,Pagos!$B$2:$B$300,A64,Pagos!$F$2:$F$300,"Pendiente"))</f>
        <v/>
      </c>
      <c r="O64" s="12" t="str">
        <f aca="false">IF(A64="","",IF(L64=0,"-",M64/L64*1000))</f>
        <v/>
      </c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0" t="str">
        <f aca="false">IF(A65="","",COUNTIF(Posts!$B$2:$B$300,A65))</f>
        <v/>
      </c>
      <c r="L65" s="10" t="str">
        <f aca="false">IF(A65="","",SUMIF(Posts!$B$2:$B$300,A65,Posts!$F$2:$F$300))</f>
        <v/>
      </c>
      <c r="M65" s="11" t="str">
        <f aca="false">IF(A65="","",SUMIFS(Pagos!$D$2:$D$300,Pagos!$B$2:$B$300,A65,Pagos!$F$2:$F$300,"Pagado"))</f>
        <v/>
      </c>
      <c r="N65" s="11" t="str">
        <f aca="false">IF(A65="","",SUMIFS(Pagos!$D$2:$D$300,Pagos!$B$2:$B$300,A65,Pagos!$F$2:$F$300,"Pendiente"))</f>
        <v/>
      </c>
      <c r="O65" s="12" t="str">
        <f aca="false">IF(A65="","",IF(L65=0,"-",M65/L65*1000))</f>
        <v/>
      </c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0" t="str">
        <f aca="false">IF(A66="","",COUNTIF(Posts!$B$2:$B$300,A66))</f>
        <v/>
      </c>
      <c r="L66" s="10" t="str">
        <f aca="false">IF(A66="","",SUMIF(Posts!$B$2:$B$300,A66,Posts!$F$2:$F$300))</f>
        <v/>
      </c>
      <c r="M66" s="11" t="str">
        <f aca="false">IF(A66="","",SUMIFS(Pagos!$D$2:$D$300,Pagos!$B$2:$B$300,A66,Pagos!$F$2:$F$300,"Pagado"))</f>
        <v/>
      </c>
      <c r="N66" s="11" t="str">
        <f aca="false">IF(A66="","",SUMIFS(Pagos!$D$2:$D$300,Pagos!$B$2:$B$300,A66,Pagos!$F$2:$F$300,"Pendiente"))</f>
        <v/>
      </c>
      <c r="O66" s="12" t="str">
        <f aca="false">IF(A66="","",IF(L66=0,"-",M66/L66*1000))</f>
        <v/>
      </c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0" t="str">
        <f aca="false">IF(A67="","",COUNTIF(Posts!$B$2:$B$300,A67))</f>
        <v/>
      </c>
      <c r="L67" s="10" t="str">
        <f aca="false">IF(A67="","",SUMIF(Posts!$B$2:$B$300,A67,Posts!$F$2:$F$300))</f>
        <v/>
      </c>
      <c r="M67" s="11" t="str">
        <f aca="false">IF(A67="","",SUMIFS(Pagos!$D$2:$D$300,Pagos!$B$2:$B$300,A67,Pagos!$F$2:$F$300,"Pagado"))</f>
        <v/>
      </c>
      <c r="N67" s="11" t="str">
        <f aca="false">IF(A67="","",SUMIFS(Pagos!$D$2:$D$300,Pagos!$B$2:$B$300,A67,Pagos!$F$2:$F$300,"Pendiente"))</f>
        <v/>
      </c>
      <c r="O67" s="12" t="str">
        <f aca="false">IF(A67="","",IF(L67=0,"-",M67/L67*1000))</f>
        <v/>
      </c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0" t="str">
        <f aca="false">IF(A68="","",COUNTIF(Posts!$B$2:$B$300,A68))</f>
        <v/>
      </c>
      <c r="L68" s="10" t="str">
        <f aca="false">IF(A68="","",SUMIF(Posts!$B$2:$B$300,A68,Posts!$F$2:$F$300))</f>
        <v/>
      </c>
      <c r="M68" s="11" t="str">
        <f aca="false">IF(A68="","",SUMIFS(Pagos!$D$2:$D$300,Pagos!$B$2:$B$300,A68,Pagos!$F$2:$F$300,"Pagado"))</f>
        <v/>
      </c>
      <c r="N68" s="11" t="str">
        <f aca="false">IF(A68="","",SUMIFS(Pagos!$D$2:$D$300,Pagos!$B$2:$B$300,A68,Pagos!$F$2:$F$300,"Pendiente"))</f>
        <v/>
      </c>
      <c r="O68" s="12" t="str">
        <f aca="false">IF(A68="","",IF(L68=0,"-",M68/L68*1000))</f>
        <v/>
      </c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0" t="str">
        <f aca="false">IF(A69="","",COUNTIF(Posts!$B$2:$B$300,A69))</f>
        <v/>
      </c>
      <c r="L69" s="10" t="str">
        <f aca="false">IF(A69="","",SUMIF(Posts!$B$2:$B$300,A69,Posts!$F$2:$F$300))</f>
        <v/>
      </c>
      <c r="M69" s="11" t="str">
        <f aca="false">IF(A69="","",SUMIFS(Pagos!$D$2:$D$300,Pagos!$B$2:$B$300,A69,Pagos!$F$2:$F$300,"Pagado"))</f>
        <v/>
      </c>
      <c r="N69" s="11" t="str">
        <f aca="false">IF(A69="","",SUMIFS(Pagos!$D$2:$D$300,Pagos!$B$2:$B$300,A69,Pagos!$F$2:$F$300,"Pendiente"))</f>
        <v/>
      </c>
      <c r="O69" s="12" t="str">
        <f aca="false">IF(A69="","",IF(L69=0,"-",M69/L69*1000))</f>
        <v/>
      </c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0" t="str">
        <f aca="false">IF(A70="","",COUNTIF(Posts!$B$2:$B$300,A70))</f>
        <v/>
      </c>
      <c r="L70" s="10" t="str">
        <f aca="false">IF(A70="","",SUMIF(Posts!$B$2:$B$300,A70,Posts!$F$2:$F$300))</f>
        <v/>
      </c>
      <c r="M70" s="11" t="str">
        <f aca="false">IF(A70="","",SUMIFS(Pagos!$D$2:$D$300,Pagos!$B$2:$B$300,A70,Pagos!$F$2:$F$300,"Pagado"))</f>
        <v/>
      </c>
      <c r="N70" s="11" t="str">
        <f aca="false">IF(A70="","",SUMIFS(Pagos!$D$2:$D$300,Pagos!$B$2:$B$300,A70,Pagos!$F$2:$F$300,"Pendiente"))</f>
        <v/>
      </c>
      <c r="O70" s="12" t="str">
        <f aca="false">IF(A70="","",IF(L70=0,"-",M70/L70*1000))</f>
        <v/>
      </c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0" t="str">
        <f aca="false">IF(A71="","",COUNTIF(Posts!$B$2:$B$300,A71))</f>
        <v/>
      </c>
      <c r="L71" s="10" t="str">
        <f aca="false">IF(A71="","",SUMIF(Posts!$B$2:$B$300,A71,Posts!$F$2:$F$300))</f>
        <v/>
      </c>
      <c r="M71" s="11" t="str">
        <f aca="false">IF(A71="","",SUMIFS(Pagos!$D$2:$D$300,Pagos!$B$2:$B$300,A71,Pagos!$F$2:$F$300,"Pagado"))</f>
        <v/>
      </c>
      <c r="N71" s="11" t="str">
        <f aca="false">IF(A71="","",SUMIFS(Pagos!$D$2:$D$300,Pagos!$B$2:$B$300,A71,Pagos!$F$2:$F$300,"Pendiente"))</f>
        <v/>
      </c>
      <c r="O71" s="12" t="str">
        <f aca="false">IF(A71="","",IF(L71=0,"-",M71/L71*1000))</f>
        <v/>
      </c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0" t="str">
        <f aca="false">IF(A72="","",COUNTIF(Posts!$B$2:$B$300,A72))</f>
        <v/>
      </c>
      <c r="L72" s="10" t="str">
        <f aca="false">IF(A72="","",SUMIF(Posts!$B$2:$B$300,A72,Posts!$F$2:$F$300))</f>
        <v/>
      </c>
      <c r="M72" s="11" t="str">
        <f aca="false">IF(A72="","",SUMIFS(Pagos!$D$2:$D$300,Pagos!$B$2:$B$300,A72,Pagos!$F$2:$F$300,"Pagado"))</f>
        <v/>
      </c>
      <c r="N72" s="11" t="str">
        <f aca="false">IF(A72="","",SUMIFS(Pagos!$D$2:$D$300,Pagos!$B$2:$B$300,A72,Pagos!$F$2:$F$300,"Pendiente"))</f>
        <v/>
      </c>
      <c r="O72" s="12" t="str">
        <f aca="false">IF(A72="","",IF(L72=0,"-",M72/L72*1000))</f>
        <v/>
      </c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0" t="str">
        <f aca="false">IF(A73="","",COUNTIF(Posts!$B$2:$B$300,A73))</f>
        <v/>
      </c>
      <c r="L73" s="10" t="str">
        <f aca="false">IF(A73="","",SUMIF(Posts!$B$2:$B$300,A73,Posts!$F$2:$F$300))</f>
        <v/>
      </c>
      <c r="M73" s="11" t="str">
        <f aca="false">IF(A73="","",SUMIFS(Pagos!$D$2:$D$300,Pagos!$B$2:$B$300,A73,Pagos!$F$2:$F$300,"Pagado"))</f>
        <v/>
      </c>
      <c r="N73" s="11" t="str">
        <f aca="false">IF(A73="","",SUMIFS(Pagos!$D$2:$D$300,Pagos!$B$2:$B$300,A73,Pagos!$F$2:$F$300,"Pendiente"))</f>
        <v/>
      </c>
      <c r="O73" s="12" t="str">
        <f aca="false">IF(A73="","",IF(L73=0,"-",M73/L73*1000))</f>
        <v/>
      </c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0" t="str">
        <f aca="false">IF(A74="","",COUNTIF(Posts!$B$2:$B$300,A74))</f>
        <v/>
      </c>
      <c r="L74" s="10" t="str">
        <f aca="false">IF(A74="","",SUMIF(Posts!$B$2:$B$300,A74,Posts!$F$2:$F$300))</f>
        <v/>
      </c>
      <c r="M74" s="11" t="str">
        <f aca="false">IF(A74="","",SUMIFS(Pagos!$D$2:$D$300,Pagos!$B$2:$B$300,A74,Pagos!$F$2:$F$300,"Pagado"))</f>
        <v/>
      </c>
      <c r="N74" s="11" t="str">
        <f aca="false">IF(A74="","",SUMIFS(Pagos!$D$2:$D$300,Pagos!$B$2:$B$300,A74,Pagos!$F$2:$F$300,"Pendiente"))</f>
        <v/>
      </c>
      <c r="O74" s="12" t="str">
        <f aca="false">IF(A74="","",IF(L74=0,"-",M74/L74*1000))</f>
        <v/>
      </c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0" t="str">
        <f aca="false">IF(A75="","",COUNTIF(Posts!$B$2:$B$300,A75))</f>
        <v/>
      </c>
      <c r="L75" s="10" t="str">
        <f aca="false">IF(A75="","",SUMIF(Posts!$B$2:$B$300,A75,Posts!$F$2:$F$300))</f>
        <v/>
      </c>
      <c r="M75" s="11" t="str">
        <f aca="false">IF(A75="","",SUMIFS(Pagos!$D$2:$D$300,Pagos!$B$2:$B$300,A75,Pagos!$F$2:$F$300,"Pagado"))</f>
        <v/>
      </c>
      <c r="N75" s="11" t="str">
        <f aca="false">IF(A75="","",SUMIFS(Pagos!$D$2:$D$300,Pagos!$B$2:$B$300,A75,Pagos!$F$2:$F$300,"Pendiente"))</f>
        <v/>
      </c>
      <c r="O75" s="12" t="str">
        <f aca="false">IF(A75="","",IF(L75=0,"-",M75/L75*1000))</f>
        <v/>
      </c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0" t="str">
        <f aca="false">IF(A76="","",COUNTIF(Posts!$B$2:$B$300,A76))</f>
        <v/>
      </c>
      <c r="L76" s="10" t="str">
        <f aca="false">IF(A76="","",SUMIF(Posts!$B$2:$B$300,A76,Posts!$F$2:$F$300))</f>
        <v/>
      </c>
      <c r="M76" s="11" t="str">
        <f aca="false">IF(A76="","",SUMIFS(Pagos!$D$2:$D$300,Pagos!$B$2:$B$300,A76,Pagos!$F$2:$F$300,"Pagado"))</f>
        <v/>
      </c>
      <c r="N76" s="11" t="str">
        <f aca="false">IF(A76="","",SUMIFS(Pagos!$D$2:$D$300,Pagos!$B$2:$B$300,A76,Pagos!$F$2:$F$300,"Pendiente"))</f>
        <v/>
      </c>
      <c r="O76" s="12" t="str">
        <f aca="false">IF(A76="","",IF(L76=0,"-",M76/L76*1000))</f>
        <v/>
      </c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0" t="str">
        <f aca="false">IF(A77="","",COUNTIF(Posts!$B$2:$B$300,A77))</f>
        <v/>
      </c>
      <c r="L77" s="10" t="str">
        <f aca="false">IF(A77="","",SUMIF(Posts!$B$2:$B$300,A77,Posts!$F$2:$F$300))</f>
        <v/>
      </c>
      <c r="M77" s="11" t="str">
        <f aca="false">IF(A77="","",SUMIFS(Pagos!$D$2:$D$300,Pagos!$B$2:$B$300,A77,Pagos!$F$2:$F$300,"Pagado"))</f>
        <v/>
      </c>
      <c r="N77" s="11" t="str">
        <f aca="false">IF(A77="","",SUMIFS(Pagos!$D$2:$D$300,Pagos!$B$2:$B$300,A77,Pagos!$F$2:$F$300,"Pendiente"))</f>
        <v/>
      </c>
      <c r="O77" s="12" t="str">
        <f aca="false">IF(A77="","",IF(L77=0,"-",M77/L77*1000))</f>
        <v/>
      </c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0" t="str">
        <f aca="false">IF(A78="","",COUNTIF(Posts!$B$2:$B$300,A78))</f>
        <v/>
      </c>
      <c r="L78" s="10" t="str">
        <f aca="false">IF(A78="","",SUMIF(Posts!$B$2:$B$300,A78,Posts!$F$2:$F$300))</f>
        <v/>
      </c>
      <c r="M78" s="11" t="str">
        <f aca="false">IF(A78="","",SUMIFS(Pagos!$D$2:$D$300,Pagos!$B$2:$B$300,A78,Pagos!$F$2:$F$300,"Pagado"))</f>
        <v/>
      </c>
      <c r="N78" s="11" t="str">
        <f aca="false">IF(A78="","",SUMIFS(Pagos!$D$2:$D$300,Pagos!$B$2:$B$300,A78,Pagos!$F$2:$F$300,"Pendiente"))</f>
        <v/>
      </c>
      <c r="O78" s="12" t="str">
        <f aca="false">IF(A78="","",IF(L78=0,"-",M78/L78*1000))</f>
        <v/>
      </c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0" t="str">
        <f aca="false">IF(A79="","",COUNTIF(Posts!$B$2:$B$300,A79))</f>
        <v/>
      </c>
      <c r="L79" s="10" t="str">
        <f aca="false">IF(A79="","",SUMIF(Posts!$B$2:$B$300,A79,Posts!$F$2:$F$300))</f>
        <v/>
      </c>
      <c r="M79" s="11" t="str">
        <f aca="false">IF(A79="","",SUMIFS(Pagos!$D$2:$D$300,Pagos!$B$2:$B$300,A79,Pagos!$F$2:$F$300,"Pagado"))</f>
        <v/>
      </c>
      <c r="N79" s="11" t="str">
        <f aca="false">IF(A79="","",SUMIFS(Pagos!$D$2:$D$300,Pagos!$B$2:$B$300,A79,Pagos!$F$2:$F$300,"Pendiente"))</f>
        <v/>
      </c>
      <c r="O79" s="12" t="str">
        <f aca="false">IF(A79="","",IF(L79=0,"-",M79/L79*1000))</f>
        <v/>
      </c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0" t="str">
        <f aca="false">IF(A80="","",COUNTIF(Posts!$B$2:$B$300,A80))</f>
        <v/>
      </c>
      <c r="L80" s="10" t="str">
        <f aca="false">IF(A80="","",SUMIF(Posts!$B$2:$B$300,A80,Posts!$F$2:$F$300))</f>
        <v/>
      </c>
      <c r="M80" s="11" t="str">
        <f aca="false">IF(A80="","",SUMIFS(Pagos!$D$2:$D$300,Pagos!$B$2:$B$300,A80,Pagos!$F$2:$F$300,"Pagado"))</f>
        <v/>
      </c>
      <c r="N80" s="11" t="str">
        <f aca="false">IF(A80="","",SUMIFS(Pagos!$D$2:$D$300,Pagos!$B$2:$B$300,A80,Pagos!$F$2:$F$300,"Pendiente"))</f>
        <v/>
      </c>
      <c r="O80" s="12" t="str">
        <f aca="false">IF(A80="","",IF(L80=0,"-",M80/L80*1000))</f>
        <v/>
      </c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0" t="str">
        <f aca="false">IF(A81="","",COUNTIF(Posts!$B$2:$B$300,A81))</f>
        <v/>
      </c>
      <c r="L81" s="10" t="str">
        <f aca="false">IF(A81="","",SUMIF(Posts!$B$2:$B$300,A81,Posts!$F$2:$F$300))</f>
        <v/>
      </c>
      <c r="M81" s="11" t="str">
        <f aca="false">IF(A81="","",SUMIFS(Pagos!$D$2:$D$300,Pagos!$B$2:$B$300,A81,Pagos!$F$2:$F$300,"Pagado"))</f>
        <v/>
      </c>
      <c r="N81" s="11" t="str">
        <f aca="false">IF(A81="","",SUMIFS(Pagos!$D$2:$D$300,Pagos!$B$2:$B$300,A81,Pagos!$F$2:$F$300,"Pendiente"))</f>
        <v/>
      </c>
      <c r="O81" s="12" t="str">
        <f aca="false">IF(A81="","",IF(L81=0,"-",M81/L81*1000))</f>
        <v/>
      </c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0" t="str">
        <f aca="false">IF(A82="","",COUNTIF(Posts!$B$2:$B$300,A82))</f>
        <v/>
      </c>
      <c r="L82" s="10" t="str">
        <f aca="false">IF(A82="","",SUMIF(Posts!$B$2:$B$300,A82,Posts!$F$2:$F$300))</f>
        <v/>
      </c>
      <c r="M82" s="11" t="str">
        <f aca="false">IF(A82="","",SUMIFS(Pagos!$D$2:$D$300,Pagos!$B$2:$B$300,A82,Pagos!$F$2:$F$300,"Pagado"))</f>
        <v/>
      </c>
      <c r="N82" s="11" t="str">
        <f aca="false">IF(A82="","",SUMIFS(Pagos!$D$2:$D$300,Pagos!$B$2:$B$300,A82,Pagos!$F$2:$F$300,"Pendiente"))</f>
        <v/>
      </c>
      <c r="O82" s="12" t="str">
        <f aca="false">IF(A82="","",IF(L82=0,"-",M82/L82*1000))</f>
        <v/>
      </c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0" t="str">
        <f aca="false">IF(A83="","",COUNTIF(Posts!$B$2:$B$300,A83))</f>
        <v/>
      </c>
      <c r="L83" s="10" t="str">
        <f aca="false">IF(A83="","",SUMIF(Posts!$B$2:$B$300,A83,Posts!$F$2:$F$300))</f>
        <v/>
      </c>
      <c r="M83" s="11" t="str">
        <f aca="false">IF(A83="","",SUMIFS(Pagos!$D$2:$D$300,Pagos!$B$2:$B$300,A83,Pagos!$F$2:$F$300,"Pagado"))</f>
        <v/>
      </c>
      <c r="N83" s="11" t="str">
        <f aca="false">IF(A83="","",SUMIFS(Pagos!$D$2:$D$300,Pagos!$B$2:$B$300,A83,Pagos!$F$2:$F$300,"Pendiente"))</f>
        <v/>
      </c>
      <c r="O83" s="12" t="str">
        <f aca="false">IF(A83="","",IF(L83=0,"-",M83/L83*1000))</f>
        <v/>
      </c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0" t="str">
        <f aca="false">IF(A84="","",COUNTIF(Posts!$B$2:$B$300,A84))</f>
        <v/>
      </c>
      <c r="L84" s="10" t="str">
        <f aca="false">IF(A84="","",SUMIF(Posts!$B$2:$B$300,A84,Posts!$F$2:$F$300))</f>
        <v/>
      </c>
      <c r="M84" s="11" t="str">
        <f aca="false">IF(A84="","",SUMIFS(Pagos!$D$2:$D$300,Pagos!$B$2:$B$300,A84,Pagos!$F$2:$F$300,"Pagado"))</f>
        <v/>
      </c>
      <c r="N84" s="11" t="str">
        <f aca="false">IF(A84="","",SUMIFS(Pagos!$D$2:$D$300,Pagos!$B$2:$B$300,A84,Pagos!$F$2:$F$300,"Pendiente"))</f>
        <v/>
      </c>
      <c r="O84" s="12" t="str">
        <f aca="false">IF(A84="","",IF(L84=0,"-",M84/L84*1000))</f>
        <v/>
      </c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0" t="str">
        <f aca="false">IF(A85="","",COUNTIF(Posts!$B$2:$B$300,A85))</f>
        <v/>
      </c>
      <c r="L85" s="10" t="str">
        <f aca="false">IF(A85="","",SUMIF(Posts!$B$2:$B$300,A85,Posts!$F$2:$F$300))</f>
        <v/>
      </c>
      <c r="M85" s="11" t="str">
        <f aca="false">IF(A85="","",SUMIFS(Pagos!$D$2:$D$300,Pagos!$B$2:$B$300,A85,Pagos!$F$2:$F$300,"Pagado"))</f>
        <v/>
      </c>
      <c r="N85" s="11" t="str">
        <f aca="false">IF(A85="","",SUMIFS(Pagos!$D$2:$D$300,Pagos!$B$2:$B$300,A85,Pagos!$F$2:$F$300,"Pendiente"))</f>
        <v/>
      </c>
      <c r="O85" s="12" t="str">
        <f aca="false">IF(A85="","",IF(L85=0,"-",M85/L85*1000))</f>
        <v/>
      </c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0" t="str">
        <f aca="false">IF(A86="","",COUNTIF(Posts!$B$2:$B$300,A86))</f>
        <v/>
      </c>
      <c r="L86" s="10" t="str">
        <f aca="false">IF(A86="","",SUMIF(Posts!$B$2:$B$300,A86,Posts!$F$2:$F$300))</f>
        <v/>
      </c>
      <c r="M86" s="11" t="str">
        <f aca="false">IF(A86="","",SUMIFS(Pagos!$D$2:$D$300,Pagos!$B$2:$B$300,A86,Pagos!$F$2:$F$300,"Pagado"))</f>
        <v/>
      </c>
      <c r="N86" s="11" t="str">
        <f aca="false">IF(A86="","",SUMIFS(Pagos!$D$2:$D$300,Pagos!$B$2:$B$300,A86,Pagos!$F$2:$F$300,"Pendiente"))</f>
        <v/>
      </c>
      <c r="O86" s="12" t="str">
        <f aca="false">IF(A86="","",IF(L86=0,"-",M86/L86*1000))</f>
        <v/>
      </c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0" t="str">
        <f aca="false">IF(A87="","",COUNTIF(Posts!$B$2:$B$300,A87))</f>
        <v/>
      </c>
      <c r="L87" s="10" t="str">
        <f aca="false">IF(A87="","",SUMIF(Posts!$B$2:$B$300,A87,Posts!$F$2:$F$300))</f>
        <v/>
      </c>
      <c r="M87" s="11" t="str">
        <f aca="false">IF(A87="","",SUMIFS(Pagos!$D$2:$D$300,Pagos!$B$2:$B$300,A87,Pagos!$F$2:$F$300,"Pagado"))</f>
        <v/>
      </c>
      <c r="N87" s="11" t="str">
        <f aca="false">IF(A87="","",SUMIFS(Pagos!$D$2:$D$300,Pagos!$B$2:$B$300,A87,Pagos!$F$2:$F$300,"Pendiente"))</f>
        <v/>
      </c>
      <c r="O87" s="12" t="str">
        <f aca="false">IF(A87="","",IF(L87=0,"-",M87/L87*1000))</f>
        <v/>
      </c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0" t="str">
        <f aca="false">IF(A88="","",COUNTIF(Posts!$B$2:$B$300,A88))</f>
        <v/>
      </c>
      <c r="L88" s="10" t="str">
        <f aca="false">IF(A88="","",SUMIF(Posts!$B$2:$B$300,A88,Posts!$F$2:$F$300))</f>
        <v/>
      </c>
      <c r="M88" s="11" t="str">
        <f aca="false">IF(A88="","",SUMIFS(Pagos!$D$2:$D$300,Pagos!$B$2:$B$300,A88,Pagos!$F$2:$F$300,"Pagado"))</f>
        <v/>
      </c>
      <c r="N88" s="11" t="str">
        <f aca="false">IF(A88="","",SUMIFS(Pagos!$D$2:$D$300,Pagos!$B$2:$B$300,A88,Pagos!$F$2:$F$300,"Pendiente"))</f>
        <v/>
      </c>
      <c r="O88" s="12" t="str">
        <f aca="false">IF(A88="","",IF(L88=0,"-",M88/L88*1000))</f>
        <v/>
      </c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0" t="str">
        <f aca="false">IF(A89="","",COUNTIF(Posts!$B$2:$B$300,A89))</f>
        <v/>
      </c>
      <c r="L89" s="10" t="str">
        <f aca="false">IF(A89="","",SUMIF(Posts!$B$2:$B$300,A89,Posts!$F$2:$F$300))</f>
        <v/>
      </c>
      <c r="M89" s="11" t="str">
        <f aca="false">IF(A89="","",SUMIFS(Pagos!$D$2:$D$300,Pagos!$B$2:$B$300,A89,Pagos!$F$2:$F$300,"Pagado"))</f>
        <v/>
      </c>
      <c r="N89" s="11" t="str">
        <f aca="false">IF(A89="","",SUMIFS(Pagos!$D$2:$D$300,Pagos!$B$2:$B$300,A89,Pagos!$F$2:$F$300,"Pendiente"))</f>
        <v/>
      </c>
      <c r="O89" s="12" t="str">
        <f aca="false">IF(A89="","",IF(L89=0,"-",M89/L89*1000))</f>
        <v/>
      </c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0" t="str">
        <f aca="false">IF(A90="","",COUNTIF(Posts!$B$2:$B$300,A90))</f>
        <v/>
      </c>
      <c r="L90" s="10" t="str">
        <f aca="false">IF(A90="","",SUMIF(Posts!$B$2:$B$300,A90,Posts!$F$2:$F$300))</f>
        <v/>
      </c>
      <c r="M90" s="11" t="str">
        <f aca="false">IF(A90="","",SUMIFS(Pagos!$D$2:$D$300,Pagos!$B$2:$B$300,A90,Pagos!$F$2:$F$300,"Pagado"))</f>
        <v/>
      </c>
      <c r="N90" s="11" t="str">
        <f aca="false">IF(A90="","",SUMIFS(Pagos!$D$2:$D$300,Pagos!$B$2:$B$300,A90,Pagos!$F$2:$F$300,"Pendiente"))</f>
        <v/>
      </c>
      <c r="O90" s="12" t="str">
        <f aca="false">IF(A90="","",IF(L90=0,"-",M90/L90*1000))</f>
        <v/>
      </c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0" t="str">
        <f aca="false">IF(A91="","",COUNTIF(Posts!$B$2:$B$300,A91))</f>
        <v/>
      </c>
      <c r="L91" s="10" t="str">
        <f aca="false">IF(A91="","",SUMIF(Posts!$B$2:$B$300,A91,Posts!$F$2:$F$300))</f>
        <v/>
      </c>
      <c r="M91" s="11" t="str">
        <f aca="false">IF(A91="","",SUMIFS(Pagos!$D$2:$D$300,Pagos!$B$2:$B$300,A91,Pagos!$F$2:$F$300,"Pagado"))</f>
        <v/>
      </c>
      <c r="N91" s="11" t="str">
        <f aca="false">IF(A91="","",SUMIFS(Pagos!$D$2:$D$300,Pagos!$B$2:$B$300,A91,Pagos!$F$2:$F$300,"Pendiente"))</f>
        <v/>
      </c>
      <c r="O91" s="12" t="str">
        <f aca="false">IF(A91="","",IF(L91=0,"-",M91/L91*1000))</f>
        <v/>
      </c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0" t="str">
        <f aca="false">IF(A92="","",COUNTIF(Posts!$B$2:$B$300,A92))</f>
        <v/>
      </c>
      <c r="L92" s="10" t="str">
        <f aca="false">IF(A92="","",SUMIF(Posts!$B$2:$B$300,A92,Posts!$F$2:$F$300))</f>
        <v/>
      </c>
      <c r="M92" s="11" t="str">
        <f aca="false">IF(A92="","",SUMIFS(Pagos!$D$2:$D$300,Pagos!$B$2:$B$300,A92,Pagos!$F$2:$F$300,"Pagado"))</f>
        <v/>
      </c>
      <c r="N92" s="11" t="str">
        <f aca="false">IF(A92="","",SUMIFS(Pagos!$D$2:$D$300,Pagos!$B$2:$B$300,A92,Pagos!$F$2:$F$300,"Pendiente"))</f>
        <v/>
      </c>
      <c r="O92" s="12" t="str">
        <f aca="false">IF(A92="","",IF(L92=0,"-",M92/L92*1000))</f>
        <v/>
      </c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0" t="str">
        <f aca="false">IF(A93="","",COUNTIF(Posts!$B$2:$B$300,A93))</f>
        <v/>
      </c>
      <c r="L93" s="10" t="str">
        <f aca="false">IF(A93="","",SUMIF(Posts!$B$2:$B$300,A93,Posts!$F$2:$F$300))</f>
        <v/>
      </c>
      <c r="M93" s="11" t="str">
        <f aca="false">IF(A93="","",SUMIFS(Pagos!$D$2:$D$300,Pagos!$B$2:$B$300,A93,Pagos!$F$2:$F$300,"Pagado"))</f>
        <v/>
      </c>
      <c r="N93" s="11" t="str">
        <f aca="false">IF(A93="","",SUMIFS(Pagos!$D$2:$D$300,Pagos!$B$2:$B$300,A93,Pagos!$F$2:$F$300,"Pendiente"))</f>
        <v/>
      </c>
      <c r="O93" s="12" t="str">
        <f aca="false">IF(A93="","",IF(L93=0,"-",M93/L93*1000))</f>
        <v/>
      </c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0" t="str">
        <f aca="false">IF(A94="","",COUNTIF(Posts!$B$2:$B$300,A94))</f>
        <v/>
      </c>
      <c r="L94" s="10" t="str">
        <f aca="false">IF(A94="","",SUMIF(Posts!$B$2:$B$300,A94,Posts!$F$2:$F$300))</f>
        <v/>
      </c>
      <c r="M94" s="11" t="str">
        <f aca="false">IF(A94="","",SUMIFS(Pagos!$D$2:$D$300,Pagos!$B$2:$B$300,A94,Pagos!$F$2:$F$300,"Pagado"))</f>
        <v/>
      </c>
      <c r="N94" s="11" t="str">
        <f aca="false">IF(A94="","",SUMIFS(Pagos!$D$2:$D$300,Pagos!$B$2:$B$300,A94,Pagos!$F$2:$F$300,"Pendiente"))</f>
        <v/>
      </c>
      <c r="O94" s="12" t="str">
        <f aca="false">IF(A94="","",IF(L94=0,"-",M94/L94*1000))</f>
        <v/>
      </c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0" t="str">
        <f aca="false">IF(A95="","",COUNTIF(Posts!$B$2:$B$300,A95))</f>
        <v/>
      </c>
      <c r="L95" s="10" t="str">
        <f aca="false">IF(A95="","",SUMIF(Posts!$B$2:$B$300,A95,Posts!$F$2:$F$300))</f>
        <v/>
      </c>
      <c r="M95" s="11" t="str">
        <f aca="false">IF(A95="","",SUMIFS(Pagos!$D$2:$D$300,Pagos!$B$2:$B$300,A95,Pagos!$F$2:$F$300,"Pagado"))</f>
        <v/>
      </c>
      <c r="N95" s="11" t="str">
        <f aca="false">IF(A95="","",SUMIFS(Pagos!$D$2:$D$300,Pagos!$B$2:$B$300,A95,Pagos!$F$2:$F$300,"Pendiente"))</f>
        <v/>
      </c>
      <c r="O95" s="12" t="str">
        <f aca="false">IF(A95="","",IF(L95=0,"-",M95/L95*1000))</f>
        <v/>
      </c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0" t="str">
        <f aca="false">IF(A96="","",COUNTIF(Posts!$B$2:$B$300,A96))</f>
        <v/>
      </c>
      <c r="L96" s="10" t="str">
        <f aca="false">IF(A96="","",SUMIF(Posts!$B$2:$B$300,A96,Posts!$F$2:$F$300))</f>
        <v/>
      </c>
      <c r="M96" s="11" t="str">
        <f aca="false">IF(A96="","",SUMIFS(Pagos!$D$2:$D$300,Pagos!$B$2:$B$300,A96,Pagos!$F$2:$F$300,"Pagado"))</f>
        <v/>
      </c>
      <c r="N96" s="11" t="str">
        <f aca="false">IF(A96="","",SUMIFS(Pagos!$D$2:$D$300,Pagos!$B$2:$B$300,A96,Pagos!$F$2:$F$300,"Pendiente"))</f>
        <v/>
      </c>
      <c r="O96" s="12" t="str">
        <f aca="false">IF(A96="","",IF(L96=0,"-",M96/L96*1000))</f>
        <v/>
      </c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0" t="str">
        <f aca="false">IF(A97="","",COUNTIF(Posts!$B$2:$B$300,A97))</f>
        <v/>
      </c>
      <c r="L97" s="10" t="str">
        <f aca="false">IF(A97="","",SUMIF(Posts!$B$2:$B$300,A97,Posts!$F$2:$F$300))</f>
        <v/>
      </c>
      <c r="M97" s="11" t="str">
        <f aca="false">IF(A97="","",SUMIFS(Pagos!$D$2:$D$300,Pagos!$B$2:$B$300,A97,Pagos!$F$2:$F$300,"Pagado"))</f>
        <v/>
      </c>
      <c r="N97" s="11" t="str">
        <f aca="false">IF(A97="","",SUMIFS(Pagos!$D$2:$D$300,Pagos!$B$2:$B$300,A97,Pagos!$F$2:$F$300,"Pendiente"))</f>
        <v/>
      </c>
      <c r="O97" s="12" t="str">
        <f aca="false">IF(A97="","",IF(L97=0,"-",M97/L97*1000))</f>
        <v/>
      </c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0" t="str">
        <f aca="false">IF(A98="","",COUNTIF(Posts!$B$2:$B$300,A98))</f>
        <v/>
      </c>
      <c r="L98" s="10" t="str">
        <f aca="false">IF(A98="","",SUMIF(Posts!$B$2:$B$300,A98,Posts!$F$2:$F$300))</f>
        <v/>
      </c>
      <c r="M98" s="11" t="str">
        <f aca="false">IF(A98="","",SUMIFS(Pagos!$D$2:$D$300,Pagos!$B$2:$B$300,A98,Pagos!$F$2:$F$300,"Pagado"))</f>
        <v/>
      </c>
      <c r="N98" s="11" t="str">
        <f aca="false">IF(A98="","",SUMIFS(Pagos!$D$2:$D$300,Pagos!$B$2:$B$300,A98,Pagos!$F$2:$F$300,"Pendiente"))</f>
        <v/>
      </c>
      <c r="O98" s="12" t="str">
        <f aca="false">IF(A98="","",IF(L98=0,"-",M98/L98*1000))</f>
        <v/>
      </c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0" t="str">
        <f aca="false">IF(A99="","",COUNTIF(Posts!$B$2:$B$300,A99))</f>
        <v/>
      </c>
      <c r="L99" s="10" t="str">
        <f aca="false">IF(A99="","",SUMIF(Posts!$B$2:$B$300,A99,Posts!$F$2:$F$300))</f>
        <v/>
      </c>
      <c r="M99" s="11" t="str">
        <f aca="false">IF(A99="","",SUMIFS(Pagos!$D$2:$D$300,Pagos!$B$2:$B$300,A99,Pagos!$F$2:$F$300,"Pagado"))</f>
        <v/>
      </c>
      <c r="N99" s="11" t="str">
        <f aca="false">IF(A99="","",SUMIFS(Pagos!$D$2:$D$300,Pagos!$B$2:$B$300,A99,Pagos!$F$2:$F$300,"Pendiente"))</f>
        <v/>
      </c>
      <c r="O99" s="12" t="str">
        <f aca="false">IF(A99="","",IF(L99=0,"-",M99/L99*1000))</f>
        <v/>
      </c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0" t="str">
        <f aca="false">IF(A100="","",COUNTIF(Posts!$B$2:$B$300,A100))</f>
        <v/>
      </c>
      <c r="L100" s="10" t="str">
        <f aca="false">IF(A100="","",SUMIF(Posts!$B$2:$B$300,A100,Posts!$F$2:$F$300))</f>
        <v/>
      </c>
      <c r="M100" s="11" t="str">
        <f aca="false">IF(A100="","",SUMIFS(Pagos!$D$2:$D$300,Pagos!$B$2:$B$300,A100,Pagos!$F$2:$F$300,"Pagado"))</f>
        <v/>
      </c>
      <c r="N100" s="11" t="str">
        <f aca="false">IF(A100="","",SUMIFS(Pagos!$D$2:$D$300,Pagos!$B$2:$B$300,A100,Pagos!$F$2:$F$300,"Pendiente"))</f>
        <v/>
      </c>
      <c r="O100" s="12" t="str">
        <f aca="false">IF(A100="","",IF(L100=0,"-",M100/L100*1000))</f>
        <v/>
      </c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0" t="str">
        <f aca="false">IF(A101="","",COUNTIF(Posts!$B$2:$B$300,A101))</f>
        <v/>
      </c>
      <c r="L101" s="10" t="str">
        <f aca="false">IF(A101="","",SUMIF(Posts!$B$2:$B$300,A101,Posts!$F$2:$F$300))</f>
        <v/>
      </c>
      <c r="M101" s="11" t="str">
        <f aca="false">IF(A101="","",SUMIFS(Pagos!$D$2:$D$300,Pagos!$B$2:$B$300,A101,Pagos!$F$2:$F$300,"Pagado"))</f>
        <v/>
      </c>
      <c r="N101" s="11" t="str">
        <f aca="false">IF(A101="","",SUMIFS(Pagos!$D$2:$D$300,Pagos!$B$2:$B$300,A101,Pagos!$F$2:$F$300,"Pendiente"))</f>
        <v/>
      </c>
      <c r="O101" s="12" t="str">
        <f aca="false">IF(A101="","",IF(L101=0,"-",M101/L101*1000))</f>
        <v/>
      </c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0" t="str">
        <f aca="false">IF(A102="","",COUNTIF(Posts!$B$2:$B$300,A102))</f>
        <v/>
      </c>
      <c r="L102" s="10" t="str">
        <f aca="false">IF(A102="","",SUMIF(Posts!$B$2:$B$300,A102,Posts!$F$2:$F$300))</f>
        <v/>
      </c>
      <c r="M102" s="11" t="str">
        <f aca="false">IF(A102="","",SUMIFS(Pagos!$D$2:$D$300,Pagos!$B$2:$B$300,A102,Pagos!$F$2:$F$300,"Pagado"))</f>
        <v/>
      </c>
      <c r="N102" s="11" t="str">
        <f aca="false">IF(A102="","",SUMIFS(Pagos!$D$2:$D$300,Pagos!$B$2:$B$300,A102,Pagos!$F$2:$F$300,"Pendiente"))</f>
        <v/>
      </c>
      <c r="O102" s="12" t="str">
        <f aca="false">IF(A102="","",IF(L102=0,"-",M102/L102*1000))</f>
        <v/>
      </c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0" t="str">
        <f aca="false">IF(A103="","",COUNTIF(Posts!$B$2:$B$300,A103))</f>
        <v/>
      </c>
      <c r="L103" s="10" t="str">
        <f aca="false">IF(A103="","",SUMIF(Posts!$B$2:$B$300,A103,Posts!$F$2:$F$300))</f>
        <v/>
      </c>
      <c r="M103" s="11" t="str">
        <f aca="false">IF(A103="","",SUMIFS(Pagos!$D$2:$D$300,Pagos!$B$2:$B$300,A103,Pagos!$F$2:$F$300,"Pagado"))</f>
        <v/>
      </c>
      <c r="N103" s="11" t="str">
        <f aca="false">IF(A103="","",SUMIFS(Pagos!$D$2:$D$300,Pagos!$B$2:$B$300,A103,Pagos!$F$2:$F$300,"Pendiente"))</f>
        <v/>
      </c>
      <c r="O103" s="12" t="str">
        <f aca="false">IF(A103="","",IF(L103=0,"-",M103/L103*1000))</f>
        <v/>
      </c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0" t="str">
        <f aca="false">IF(A104="","",COUNTIF(Posts!$B$2:$B$300,A104))</f>
        <v/>
      </c>
      <c r="L104" s="10" t="str">
        <f aca="false">IF(A104="","",SUMIF(Posts!$B$2:$B$300,A104,Posts!$F$2:$F$300))</f>
        <v/>
      </c>
      <c r="M104" s="11" t="str">
        <f aca="false">IF(A104="","",SUMIFS(Pagos!$D$2:$D$300,Pagos!$B$2:$B$300,A104,Pagos!$F$2:$F$300,"Pagado"))</f>
        <v/>
      </c>
      <c r="N104" s="11" t="str">
        <f aca="false">IF(A104="","",SUMIFS(Pagos!$D$2:$D$300,Pagos!$B$2:$B$300,A104,Pagos!$F$2:$F$300,"Pendiente"))</f>
        <v/>
      </c>
      <c r="O104" s="12" t="str">
        <f aca="false">IF(A104="","",IF(L104=0,"-",M104/L104*1000))</f>
        <v/>
      </c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0" t="str">
        <f aca="false">IF(A105="","",COUNTIF(Posts!$B$2:$B$300,A105))</f>
        <v/>
      </c>
      <c r="L105" s="10" t="str">
        <f aca="false">IF(A105="","",SUMIF(Posts!$B$2:$B$300,A105,Posts!$F$2:$F$300))</f>
        <v/>
      </c>
      <c r="M105" s="11" t="str">
        <f aca="false">IF(A105="","",SUMIFS(Pagos!$D$2:$D$300,Pagos!$B$2:$B$300,A105,Pagos!$F$2:$F$300,"Pagado"))</f>
        <v/>
      </c>
      <c r="N105" s="11" t="str">
        <f aca="false">IF(A105="","",SUMIFS(Pagos!$D$2:$D$300,Pagos!$B$2:$B$300,A105,Pagos!$F$2:$F$300,"Pendiente"))</f>
        <v/>
      </c>
      <c r="O105" s="12" t="str">
        <f aca="false">IF(A105="","",IF(L105=0,"-",M105/L105*1000))</f>
        <v/>
      </c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0" t="str">
        <f aca="false">IF(A106="","",COUNTIF(Posts!$B$2:$B$300,A106))</f>
        <v/>
      </c>
      <c r="L106" s="10" t="str">
        <f aca="false">IF(A106="","",SUMIF(Posts!$B$2:$B$300,A106,Posts!$F$2:$F$300))</f>
        <v/>
      </c>
      <c r="M106" s="11" t="str">
        <f aca="false">IF(A106="","",SUMIFS(Pagos!$D$2:$D$300,Pagos!$B$2:$B$300,A106,Pagos!$F$2:$F$300,"Pagado"))</f>
        <v/>
      </c>
      <c r="N106" s="11" t="str">
        <f aca="false">IF(A106="","",SUMIFS(Pagos!$D$2:$D$300,Pagos!$B$2:$B$300,A106,Pagos!$F$2:$F$300,"Pendiente"))</f>
        <v/>
      </c>
      <c r="O106" s="12" t="str">
        <f aca="false">IF(A106="","",IF(L106=0,"-",M106/L106*1000))</f>
        <v/>
      </c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0" t="str">
        <f aca="false">IF(A107="","",COUNTIF(Posts!$B$2:$B$300,A107))</f>
        <v/>
      </c>
      <c r="L107" s="10" t="str">
        <f aca="false">IF(A107="","",SUMIF(Posts!$B$2:$B$300,A107,Posts!$F$2:$F$300))</f>
        <v/>
      </c>
      <c r="M107" s="11" t="str">
        <f aca="false">IF(A107="","",SUMIFS(Pagos!$D$2:$D$300,Pagos!$B$2:$B$300,A107,Pagos!$F$2:$F$300,"Pagado"))</f>
        <v/>
      </c>
      <c r="N107" s="11" t="str">
        <f aca="false">IF(A107="","",SUMIFS(Pagos!$D$2:$D$300,Pagos!$B$2:$B$300,A107,Pagos!$F$2:$F$300,"Pendiente"))</f>
        <v/>
      </c>
      <c r="O107" s="12" t="str">
        <f aca="false">IF(A107="","",IF(L107=0,"-",M107/L107*1000))</f>
        <v/>
      </c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0" t="str">
        <f aca="false">IF(A108="","",COUNTIF(Posts!$B$2:$B$300,A108))</f>
        <v/>
      </c>
      <c r="L108" s="10" t="str">
        <f aca="false">IF(A108="","",SUMIF(Posts!$B$2:$B$300,A108,Posts!$F$2:$F$300))</f>
        <v/>
      </c>
      <c r="M108" s="11" t="str">
        <f aca="false">IF(A108="","",SUMIFS(Pagos!$D$2:$D$300,Pagos!$B$2:$B$300,A108,Pagos!$F$2:$F$300,"Pagado"))</f>
        <v/>
      </c>
      <c r="N108" s="11" t="str">
        <f aca="false">IF(A108="","",SUMIFS(Pagos!$D$2:$D$300,Pagos!$B$2:$B$300,A108,Pagos!$F$2:$F$300,"Pendiente"))</f>
        <v/>
      </c>
      <c r="O108" s="12" t="str">
        <f aca="false">IF(A108="","",IF(L108=0,"-",M108/L108*1000))</f>
        <v/>
      </c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0" t="str">
        <f aca="false">IF(A109="","",COUNTIF(Posts!$B$2:$B$300,A109))</f>
        <v/>
      </c>
      <c r="L109" s="10" t="str">
        <f aca="false">IF(A109="","",SUMIF(Posts!$B$2:$B$300,A109,Posts!$F$2:$F$300))</f>
        <v/>
      </c>
      <c r="M109" s="11" t="str">
        <f aca="false">IF(A109="","",SUMIFS(Pagos!$D$2:$D$300,Pagos!$B$2:$B$300,A109,Pagos!$F$2:$F$300,"Pagado"))</f>
        <v/>
      </c>
      <c r="N109" s="11" t="str">
        <f aca="false">IF(A109="","",SUMIFS(Pagos!$D$2:$D$300,Pagos!$B$2:$B$300,A109,Pagos!$F$2:$F$300,"Pendiente"))</f>
        <v/>
      </c>
      <c r="O109" s="12" t="str">
        <f aca="false">IF(A109="","",IF(L109=0,"-",M109/L109*1000))</f>
        <v/>
      </c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0" t="str">
        <f aca="false">IF(A110="","",COUNTIF(Posts!$B$2:$B$300,A110))</f>
        <v/>
      </c>
      <c r="L110" s="10" t="str">
        <f aca="false">IF(A110="","",SUMIF(Posts!$B$2:$B$300,A110,Posts!$F$2:$F$300))</f>
        <v/>
      </c>
      <c r="M110" s="11" t="str">
        <f aca="false">IF(A110="","",SUMIFS(Pagos!$D$2:$D$300,Pagos!$B$2:$B$300,A110,Pagos!$F$2:$F$300,"Pagado"))</f>
        <v/>
      </c>
      <c r="N110" s="11" t="str">
        <f aca="false">IF(A110="","",SUMIFS(Pagos!$D$2:$D$300,Pagos!$B$2:$B$300,A110,Pagos!$F$2:$F$300,"Pendiente"))</f>
        <v/>
      </c>
      <c r="O110" s="12" t="str">
        <f aca="false">IF(A110="","",IF(L110=0,"-",M110/L110*1000))</f>
        <v/>
      </c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0" t="str">
        <f aca="false">IF(A111="","",COUNTIF(Posts!$B$2:$B$300,A111))</f>
        <v/>
      </c>
      <c r="L111" s="10" t="str">
        <f aca="false">IF(A111="","",SUMIF(Posts!$B$2:$B$300,A111,Posts!$F$2:$F$300))</f>
        <v/>
      </c>
      <c r="M111" s="11" t="str">
        <f aca="false">IF(A111="","",SUMIFS(Pagos!$D$2:$D$300,Pagos!$B$2:$B$300,A111,Pagos!$F$2:$F$300,"Pagado"))</f>
        <v/>
      </c>
      <c r="N111" s="11" t="str">
        <f aca="false">IF(A111="","",SUMIFS(Pagos!$D$2:$D$300,Pagos!$B$2:$B$300,A111,Pagos!$F$2:$F$300,"Pendiente"))</f>
        <v/>
      </c>
      <c r="O111" s="12" t="str">
        <f aca="false">IF(A111="","",IF(L111=0,"-",M111/L111*1000))</f>
        <v/>
      </c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0" t="str">
        <f aca="false">IF(A112="","",COUNTIF(Posts!$B$2:$B$300,A112))</f>
        <v/>
      </c>
      <c r="L112" s="10" t="str">
        <f aca="false">IF(A112="","",SUMIF(Posts!$B$2:$B$300,A112,Posts!$F$2:$F$300))</f>
        <v/>
      </c>
      <c r="M112" s="11" t="str">
        <f aca="false">IF(A112="","",SUMIFS(Pagos!$D$2:$D$300,Pagos!$B$2:$B$300,A112,Pagos!$F$2:$F$300,"Pagado"))</f>
        <v/>
      </c>
      <c r="N112" s="11" t="str">
        <f aca="false">IF(A112="","",SUMIFS(Pagos!$D$2:$D$300,Pagos!$B$2:$B$300,A112,Pagos!$F$2:$F$300,"Pendiente"))</f>
        <v/>
      </c>
      <c r="O112" s="12" t="str">
        <f aca="false">IF(A112="","",IF(L112=0,"-",M112/L112*1000))</f>
        <v/>
      </c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0" t="str">
        <f aca="false">IF(A113="","",COUNTIF(Posts!$B$2:$B$300,A113))</f>
        <v/>
      </c>
      <c r="L113" s="10" t="str">
        <f aca="false">IF(A113="","",SUMIF(Posts!$B$2:$B$300,A113,Posts!$F$2:$F$300))</f>
        <v/>
      </c>
      <c r="M113" s="11" t="str">
        <f aca="false">IF(A113="","",SUMIFS(Pagos!$D$2:$D$300,Pagos!$B$2:$B$300,A113,Pagos!$F$2:$F$300,"Pagado"))</f>
        <v/>
      </c>
      <c r="N113" s="11" t="str">
        <f aca="false">IF(A113="","",SUMIFS(Pagos!$D$2:$D$300,Pagos!$B$2:$B$300,A113,Pagos!$F$2:$F$300,"Pendiente"))</f>
        <v/>
      </c>
      <c r="O113" s="12" t="str">
        <f aca="false">IF(A113="","",IF(L113=0,"-",M113/L113*1000))</f>
        <v/>
      </c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0" t="str">
        <f aca="false">IF(A114="","",COUNTIF(Posts!$B$2:$B$300,A114))</f>
        <v/>
      </c>
      <c r="L114" s="10" t="str">
        <f aca="false">IF(A114="","",SUMIF(Posts!$B$2:$B$300,A114,Posts!$F$2:$F$300))</f>
        <v/>
      </c>
      <c r="M114" s="11" t="str">
        <f aca="false">IF(A114="","",SUMIFS(Pagos!$D$2:$D$300,Pagos!$B$2:$B$300,A114,Pagos!$F$2:$F$300,"Pagado"))</f>
        <v/>
      </c>
      <c r="N114" s="11" t="str">
        <f aca="false">IF(A114="","",SUMIFS(Pagos!$D$2:$D$300,Pagos!$B$2:$B$300,A114,Pagos!$F$2:$F$300,"Pendiente"))</f>
        <v/>
      </c>
      <c r="O114" s="12" t="str">
        <f aca="false">IF(A114="","",IF(L114=0,"-",M114/L114*1000))</f>
        <v/>
      </c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0" t="str">
        <f aca="false">IF(A115="","",COUNTIF(Posts!$B$2:$B$300,A115))</f>
        <v/>
      </c>
      <c r="L115" s="10" t="str">
        <f aca="false">IF(A115="","",SUMIF(Posts!$B$2:$B$300,A115,Posts!$F$2:$F$300))</f>
        <v/>
      </c>
      <c r="M115" s="11" t="str">
        <f aca="false">IF(A115="","",SUMIFS(Pagos!$D$2:$D$300,Pagos!$B$2:$B$300,A115,Pagos!$F$2:$F$300,"Pagado"))</f>
        <v/>
      </c>
      <c r="N115" s="11" t="str">
        <f aca="false">IF(A115="","",SUMIFS(Pagos!$D$2:$D$300,Pagos!$B$2:$B$300,A115,Pagos!$F$2:$F$300,"Pendiente"))</f>
        <v/>
      </c>
      <c r="O115" s="12" t="str">
        <f aca="false">IF(A115="","",IF(L115=0,"-",M115/L115*1000))</f>
        <v/>
      </c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0" t="str">
        <f aca="false">IF(A116="","",COUNTIF(Posts!$B$2:$B$300,A116))</f>
        <v/>
      </c>
      <c r="L116" s="10" t="str">
        <f aca="false">IF(A116="","",SUMIF(Posts!$B$2:$B$300,A116,Posts!$F$2:$F$300))</f>
        <v/>
      </c>
      <c r="M116" s="11" t="str">
        <f aca="false">IF(A116="","",SUMIFS(Pagos!$D$2:$D$300,Pagos!$B$2:$B$300,A116,Pagos!$F$2:$F$300,"Pagado"))</f>
        <v/>
      </c>
      <c r="N116" s="11" t="str">
        <f aca="false">IF(A116="","",SUMIFS(Pagos!$D$2:$D$300,Pagos!$B$2:$B$300,A116,Pagos!$F$2:$F$300,"Pendiente"))</f>
        <v/>
      </c>
      <c r="O116" s="12" t="str">
        <f aca="false">IF(A116="","",IF(L116=0,"-",M116/L116*1000))</f>
        <v/>
      </c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0" t="str">
        <f aca="false">IF(A117="","",COUNTIF(Posts!$B$2:$B$300,A117))</f>
        <v/>
      </c>
      <c r="L117" s="10" t="str">
        <f aca="false">IF(A117="","",SUMIF(Posts!$B$2:$B$300,A117,Posts!$F$2:$F$300))</f>
        <v/>
      </c>
      <c r="M117" s="11" t="str">
        <f aca="false">IF(A117="","",SUMIFS(Pagos!$D$2:$D$300,Pagos!$B$2:$B$300,A117,Pagos!$F$2:$F$300,"Pagado"))</f>
        <v/>
      </c>
      <c r="N117" s="11" t="str">
        <f aca="false">IF(A117="","",SUMIFS(Pagos!$D$2:$D$300,Pagos!$B$2:$B$300,A117,Pagos!$F$2:$F$300,"Pendiente"))</f>
        <v/>
      </c>
      <c r="O117" s="12" t="str">
        <f aca="false">IF(A117="","",IF(L117=0,"-",M117/L117*1000))</f>
        <v/>
      </c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0" t="str">
        <f aca="false">IF(A118="","",COUNTIF(Posts!$B$2:$B$300,A118))</f>
        <v/>
      </c>
      <c r="L118" s="10" t="str">
        <f aca="false">IF(A118="","",SUMIF(Posts!$B$2:$B$300,A118,Posts!$F$2:$F$300))</f>
        <v/>
      </c>
      <c r="M118" s="11" t="str">
        <f aca="false">IF(A118="","",SUMIFS(Pagos!$D$2:$D$300,Pagos!$B$2:$B$300,A118,Pagos!$F$2:$F$300,"Pagado"))</f>
        <v/>
      </c>
      <c r="N118" s="11" t="str">
        <f aca="false">IF(A118="","",SUMIFS(Pagos!$D$2:$D$300,Pagos!$B$2:$B$300,A118,Pagos!$F$2:$F$300,"Pendiente"))</f>
        <v/>
      </c>
      <c r="O118" s="12" t="str">
        <f aca="false">IF(A118="","",IF(L118=0,"-",M118/L118*1000))</f>
        <v/>
      </c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0" t="str">
        <f aca="false">IF(A119="","",COUNTIF(Posts!$B$2:$B$300,A119))</f>
        <v/>
      </c>
      <c r="L119" s="10" t="str">
        <f aca="false">IF(A119="","",SUMIF(Posts!$B$2:$B$300,A119,Posts!$F$2:$F$300))</f>
        <v/>
      </c>
      <c r="M119" s="11" t="str">
        <f aca="false">IF(A119="","",SUMIFS(Pagos!$D$2:$D$300,Pagos!$B$2:$B$300,A119,Pagos!$F$2:$F$300,"Pagado"))</f>
        <v/>
      </c>
      <c r="N119" s="11" t="str">
        <f aca="false">IF(A119="","",SUMIFS(Pagos!$D$2:$D$300,Pagos!$B$2:$B$300,A119,Pagos!$F$2:$F$300,"Pendiente"))</f>
        <v/>
      </c>
      <c r="O119" s="12" t="str">
        <f aca="false">IF(A119="","",IF(L119=0,"-",M119/L119*1000))</f>
        <v/>
      </c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0" t="str">
        <f aca="false">IF(A120="","",COUNTIF(Posts!$B$2:$B$300,A120))</f>
        <v/>
      </c>
      <c r="L120" s="10" t="str">
        <f aca="false">IF(A120="","",SUMIF(Posts!$B$2:$B$300,A120,Posts!$F$2:$F$300))</f>
        <v/>
      </c>
      <c r="M120" s="11" t="str">
        <f aca="false">IF(A120="","",SUMIFS(Pagos!$D$2:$D$300,Pagos!$B$2:$B$300,A120,Pagos!$F$2:$F$300,"Pagado"))</f>
        <v/>
      </c>
      <c r="N120" s="11" t="str">
        <f aca="false">IF(A120="","",SUMIFS(Pagos!$D$2:$D$300,Pagos!$B$2:$B$300,A120,Pagos!$F$2:$F$300,"Pendiente"))</f>
        <v/>
      </c>
      <c r="O120" s="12" t="str">
        <f aca="false">IF(A120="","",IF(L120=0,"-",M120/L120*1000))</f>
        <v/>
      </c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0" t="str">
        <f aca="false">IF(A121="","",COUNTIF(Posts!$B$2:$B$300,A121))</f>
        <v/>
      </c>
      <c r="L121" s="10" t="str">
        <f aca="false">IF(A121="","",SUMIF(Posts!$B$2:$B$300,A121,Posts!$F$2:$F$300))</f>
        <v/>
      </c>
      <c r="M121" s="11" t="str">
        <f aca="false">IF(A121="","",SUMIFS(Pagos!$D$2:$D$300,Pagos!$B$2:$B$300,A121,Pagos!$F$2:$F$300,"Pagado"))</f>
        <v/>
      </c>
      <c r="N121" s="11" t="str">
        <f aca="false">IF(A121="","",SUMIFS(Pagos!$D$2:$D$300,Pagos!$B$2:$B$300,A121,Pagos!$F$2:$F$300,"Pendiente"))</f>
        <v/>
      </c>
      <c r="O121" s="12" t="str">
        <f aca="false">IF(A121="","",IF(L121=0,"-",M121/L121*1000))</f>
        <v/>
      </c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0" t="str">
        <f aca="false">IF(A122="","",COUNTIF(Posts!$B$2:$B$300,A122))</f>
        <v/>
      </c>
      <c r="L122" s="10" t="str">
        <f aca="false">IF(A122="","",SUMIF(Posts!$B$2:$B$300,A122,Posts!$F$2:$F$300))</f>
        <v/>
      </c>
      <c r="M122" s="11" t="str">
        <f aca="false">IF(A122="","",SUMIFS(Pagos!$D$2:$D$300,Pagos!$B$2:$B$300,A122,Pagos!$F$2:$F$300,"Pagado"))</f>
        <v/>
      </c>
      <c r="N122" s="11" t="str">
        <f aca="false">IF(A122="","",SUMIFS(Pagos!$D$2:$D$300,Pagos!$B$2:$B$300,A122,Pagos!$F$2:$F$300,"Pendiente"))</f>
        <v/>
      </c>
      <c r="O122" s="12" t="str">
        <f aca="false">IF(A122="","",IF(L122=0,"-",M122/L122*1000))</f>
        <v/>
      </c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0" t="str">
        <f aca="false">IF(A123="","",COUNTIF(Posts!$B$2:$B$300,A123))</f>
        <v/>
      </c>
      <c r="L123" s="10" t="str">
        <f aca="false">IF(A123="","",SUMIF(Posts!$B$2:$B$300,A123,Posts!$F$2:$F$300))</f>
        <v/>
      </c>
      <c r="M123" s="11" t="str">
        <f aca="false">IF(A123="","",SUMIFS(Pagos!$D$2:$D$300,Pagos!$B$2:$B$300,A123,Pagos!$F$2:$F$300,"Pagado"))</f>
        <v/>
      </c>
      <c r="N123" s="11" t="str">
        <f aca="false">IF(A123="","",SUMIFS(Pagos!$D$2:$D$300,Pagos!$B$2:$B$300,A123,Pagos!$F$2:$F$300,"Pendiente"))</f>
        <v/>
      </c>
      <c r="O123" s="12" t="str">
        <f aca="false">IF(A123="","",IF(L123=0,"-",M123/L123*1000))</f>
        <v/>
      </c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0" t="str">
        <f aca="false">IF(A124="","",COUNTIF(Posts!$B$2:$B$300,A124))</f>
        <v/>
      </c>
      <c r="L124" s="10" t="str">
        <f aca="false">IF(A124="","",SUMIF(Posts!$B$2:$B$300,A124,Posts!$F$2:$F$300))</f>
        <v/>
      </c>
      <c r="M124" s="11" t="str">
        <f aca="false">IF(A124="","",SUMIFS(Pagos!$D$2:$D$300,Pagos!$B$2:$B$300,A124,Pagos!$F$2:$F$300,"Pagado"))</f>
        <v/>
      </c>
      <c r="N124" s="11" t="str">
        <f aca="false">IF(A124="","",SUMIFS(Pagos!$D$2:$D$300,Pagos!$B$2:$B$300,A124,Pagos!$F$2:$F$300,"Pendiente"))</f>
        <v/>
      </c>
      <c r="O124" s="12" t="str">
        <f aca="false">IF(A124="","",IF(L124=0,"-",M124/L124*1000))</f>
        <v/>
      </c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0" t="str">
        <f aca="false">IF(A125="","",COUNTIF(Posts!$B$2:$B$300,A125))</f>
        <v/>
      </c>
      <c r="L125" s="10" t="str">
        <f aca="false">IF(A125="","",SUMIF(Posts!$B$2:$B$300,A125,Posts!$F$2:$F$300))</f>
        <v/>
      </c>
      <c r="M125" s="11" t="str">
        <f aca="false">IF(A125="","",SUMIFS(Pagos!$D$2:$D$300,Pagos!$B$2:$B$300,A125,Pagos!$F$2:$F$300,"Pagado"))</f>
        <v/>
      </c>
      <c r="N125" s="11" t="str">
        <f aca="false">IF(A125="","",SUMIFS(Pagos!$D$2:$D$300,Pagos!$B$2:$B$300,A125,Pagos!$F$2:$F$300,"Pendiente"))</f>
        <v/>
      </c>
      <c r="O125" s="12" t="str">
        <f aca="false">IF(A125="","",IF(L125=0,"-",M125/L125*1000))</f>
        <v/>
      </c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0" t="str">
        <f aca="false">IF(A126="","",COUNTIF(Posts!$B$2:$B$300,A126))</f>
        <v/>
      </c>
      <c r="L126" s="10" t="str">
        <f aca="false">IF(A126="","",SUMIF(Posts!$B$2:$B$300,A126,Posts!$F$2:$F$300))</f>
        <v/>
      </c>
      <c r="M126" s="11" t="str">
        <f aca="false">IF(A126="","",SUMIFS(Pagos!$D$2:$D$300,Pagos!$B$2:$B$300,A126,Pagos!$F$2:$F$300,"Pagado"))</f>
        <v/>
      </c>
      <c r="N126" s="11" t="str">
        <f aca="false">IF(A126="","",SUMIFS(Pagos!$D$2:$D$300,Pagos!$B$2:$B$300,A126,Pagos!$F$2:$F$300,"Pendiente"))</f>
        <v/>
      </c>
      <c r="O126" s="12" t="str">
        <f aca="false">IF(A126="","",IF(L126=0,"-",M126/L126*1000))</f>
        <v/>
      </c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0" t="str">
        <f aca="false">IF(A127="","",COUNTIF(Posts!$B$2:$B$300,A127))</f>
        <v/>
      </c>
      <c r="L127" s="10" t="str">
        <f aca="false">IF(A127="","",SUMIF(Posts!$B$2:$B$300,A127,Posts!$F$2:$F$300))</f>
        <v/>
      </c>
      <c r="M127" s="11" t="str">
        <f aca="false">IF(A127="","",SUMIFS(Pagos!$D$2:$D$300,Pagos!$B$2:$B$300,A127,Pagos!$F$2:$F$300,"Pagado"))</f>
        <v/>
      </c>
      <c r="N127" s="11" t="str">
        <f aca="false">IF(A127="","",SUMIFS(Pagos!$D$2:$D$300,Pagos!$B$2:$B$300,A127,Pagos!$F$2:$F$300,"Pendiente"))</f>
        <v/>
      </c>
      <c r="O127" s="12" t="str">
        <f aca="false">IF(A127="","",IF(L127=0,"-",M127/L127*1000))</f>
        <v/>
      </c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0" t="str">
        <f aca="false">IF(A128="","",COUNTIF(Posts!$B$2:$B$300,A128))</f>
        <v/>
      </c>
      <c r="L128" s="10" t="str">
        <f aca="false">IF(A128="","",SUMIF(Posts!$B$2:$B$300,A128,Posts!$F$2:$F$300))</f>
        <v/>
      </c>
      <c r="M128" s="11" t="str">
        <f aca="false">IF(A128="","",SUMIFS(Pagos!$D$2:$D$300,Pagos!$B$2:$B$300,A128,Pagos!$F$2:$F$300,"Pagado"))</f>
        <v/>
      </c>
      <c r="N128" s="11" t="str">
        <f aca="false">IF(A128="","",SUMIFS(Pagos!$D$2:$D$300,Pagos!$B$2:$B$300,A128,Pagos!$F$2:$F$300,"Pendiente"))</f>
        <v/>
      </c>
      <c r="O128" s="12" t="str">
        <f aca="false">IF(A128="","",IF(L128=0,"-",M128/L128*1000))</f>
        <v/>
      </c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0" t="str">
        <f aca="false">IF(A129="","",COUNTIF(Posts!$B$2:$B$300,A129))</f>
        <v/>
      </c>
      <c r="L129" s="10" t="str">
        <f aca="false">IF(A129="","",SUMIF(Posts!$B$2:$B$300,A129,Posts!$F$2:$F$300))</f>
        <v/>
      </c>
      <c r="M129" s="11" t="str">
        <f aca="false">IF(A129="","",SUMIFS(Pagos!$D$2:$D$300,Pagos!$B$2:$B$300,A129,Pagos!$F$2:$F$300,"Pagado"))</f>
        <v/>
      </c>
      <c r="N129" s="11" t="str">
        <f aca="false">IF(A129="","",SUMIFS(Pagos!$D$2:$D$300,Pagos!$B$2:$B$300,A129,Pagos!$F$2:$F$300,"Pendiente"))</f>
        <v/>
      </c>
      <c r="O129" s="12" t="str">
        <f aca="false">IF(A129="","",IF(L129=0,"-",M129/L129*1000))</f>
        <v/>
      </c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0" t="str">
        <f aca="false">IF(A130="","",COUNTIF(Posts!$B$2:$B$300,A130))</f>
        <v/>
      </c>
      <c r="L130" s="10" t="str">
        <f aca="false">IF(A130="","",SUMIF(Posts!$B$2:$B$300,A130,Posts!$F$2:$F$300))</f>
        <v/>
      </c>
      <c r="M130" s="11" t="str">
        <f aca="false">IF(A130="","",SUMIFS(Pagos!$D$2:$D$300,Pagos!$B$2:$B$300,A130,Pagos!$F$2:$F$300,"Pagado"))</f>
        <v/>
      </c>
      <c r="N130" s="11" t="str">
        <f aca="false">IF(A130="","",SUMIFS(Pagos!$D$2:$D$300,Pagos!$B$2:$B$300,A130,Pagos!$F$2:$F$300,"Pendiente"))</f>
        <v/>
      </c>
      <c r="O130" s="12" t="str">
        <f aca="false">IF(A130="","",IF(L130=0,"-",M130/L130*1000))</f>
        <v/>
      </c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0" t="str">
        <f aca="false">IF(A131="","",COUNTIF(Posts!$B$2:$B$300,A131))</f>
        <v/>
      </c>
      <c r="L131" s="10" t="str">
        <f aca="false">IF(A131="","",SUMIF(Posts!$B$2:$B$300,A131,Posts!$F$2:$F$300))</f>
        <v/>
      </c>
      <c r="M131" s="11" t="str">
        <f aca="false">IF(A131="","",SUMIFS(Pagos!$D$2:$D$300,Pagos!$B$2:$B$300,A131,Pagos!$F$2:$F$300,"Pagado"))</f>
        <v/>
      </c>
      <c r="N131" s="11" t="str">
        <f aca="false">IF(A131="","",SUMIFS(Pagos!$D$2:$D$300,Pagos!$B$2:$B$300,A131,Pagos!$F$2:$F$300,"Pendiente"))</f>
        <v/>
      </c>
      <c r="O131" s="12" t="str">
        <f aca="false">IF(A131="","",IF(L131=0,"-",M131/L131*1000))</f>
        <v/>
      </c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0" t="str">
        <f aca="false">IF(A132="","",COUNTIF(Posts!$B$2:$B$300,A132))</f>
        <v/>
      </c>
      <c r="L132" s="10" t="str">
        <f aca="false">IF(A132="","",SUMIF(Posts!$B$2:$B$300,A132,Posts!$F$2:$F$300))</f>
        <v/>
      </c>
      <c r="M132" s="11" t="str">
        <f aca="false">IF(A132="","",SUMIFS(Pagos!$D$2:$D$300,Pagos!$B$2:$B$300,A132,Pagos!$F$2:$F$300,"Pagado"))</f>
        <v/>
      </c>
      <c r="N132" s="11" t="str">
        <f aca="false">IF(A132="","",SUMIFS(Pagos!$D$2:$D$300,Pagos!$B$2:$B$300,A132,Pagos!$F$2:$F$300,"Pendiente"))</f>
        <v/>
      </c>
      <c r="O132" s="12" t="str">
        <f aca="false">IF(A132="","",IF(L132=0,"-",M132/L132*1000))</f>
        <v/>
      </c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0" t="str">
        <f aca="false">IF(A133="","",COUNTIF(Posts!$B$2:$B$300,A133))</f>
        <v/>
      </c>
      <c r="L133" s="10" t="str">
        <f aca="false">IF(A133="","",SUMIF(Posts!$B$2:$B$300,A133,Posts!$F$2:$F$300))</f>
        <v/>
      </c>
      <c r="M133" s="11" t="str">
        <f aca="false">IF(A133="","",SUMIFS(Pagos!$D$2:$D$300,Pagos!$B$2:$B$300,A133,Pagos!$F$2:$F$300,"Pagado"))</f>
        <v/>
      </c>
      <c r="N133" s="11" t="str">
        <f aca="false">IF(A133="","",SUMIFS(Pagos!$D$2:$D$300,Pagos!$B$2:$B$300,A133,Pagos!$F$2:$F$300,"Pendiente"))</f>
        <v/>
      </c>
      <c r="O133" s="12" t="str">
        <f aca="false">IF(A133="","",IF(L133=0,"-",M133/L133*1000))</f>
        <v/>
      </c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0" t="str">
        <f aca="false">IF(A134="","",COUNTIF(Posts!$B$2:$B$300,A134))</f>
        <v/>
      </c>
      <c r="L134" s="10" t="str">
        <f aca="false">IF(A134="","",SUMIF(Posts!$B$2:$B$300,A134,Posts!$F$2:$F$300))</f>
        <v/>
      </c>
      <c r="M134" s="11" t="str">
        <f aca="false">IF(A134="","",SUMIFS(Pagos!$D$2:$D$300,Pagos!$B$2:$B$300,A134,Pagos!$F$2:$F$300,"Pagado"))</f>
        <v/>
      </c>
      <c r="N134" s="11" t="str">
        <f aca="false">IF(A134="","",SUMIFS(Pagos!$D$2:$D$300,Pagos!$B$2:$B$300,A134,Pagos!$F$2:$F$300,"Pendiente"))</f>
        <v/>
      </c>
      <c r="O134" s="12" t="str">
        <f aca="false">IF(A134="","",IF(L134=0,"-",M134/L134*1000))</f>
        <v/>
      </c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0" t="str">
        <f aca="false">IF(A135="","",COUNTIF(Posts!$B$2:$B$300,A135))</f>
        <v/>
      </c>
      <c r="L135" s="10" t="str">
        <f aca="false">IF(A135="","",SUMIF(Posts!$B$2:$B$300,A135,Posts!$F$2:$F$300))</f>
        <v/>
      </c>
      <c r="M135" s="11" t="str">
        <f aca="false">IF(A135="","",SUMIFS(Pagos!$D$2:$D$300,Pagos!$B$2:$B$300,A135,Pagos!$F$2:$F$300,"Pagado"))</f>
        <v/>
      </c>
      <c r="N135" s="11" t="str">
        <f aca="false">IF(A135="","",SUMIFS(Pagos!$D$2:$D$300,Pagos!$B$2:$B$300,A135,Pagos!$F$2:$F$300,"Pendiente"))</f>
        <v/>
      </c>
      <c r="O135" s="12" t="str">
        <f aca="false">IF(A135="","",IF(L135=0,"-",M135/L135*1000))</f>
        <v/>
      </c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0" t="str">
        <f aca="false">IF(A136="","",COUNTIF(Posts!$B$2:$B$300,A136))</f>
        <v/>
      </c>
      <c r="L136" s="10" t="str">
        <f aca="false">IF(A136="","",SUMIF(Posts!$B$2:$B$300,A136,Posts!$F$2:$F$300))</f>
        <v/>
      </c>
      <c r="M136" s="11" t="str">
        <f aca="false">IF(A136="","",SUMIFS(Pagos!$D$2:$D$300,Pagos!$B$2:$B$300,A136,Pagos!$F$2:$F$300,"Pagado"))</f>
        <v/>
      </c>
      <c r="N136" s="11" t="str">
        <f aca="false">IF(A136="","",SUMIFS(Pagos!$D$2:$D$300,Pagos!$B$2:$B$300,A136,Pagos!$F$2:$F$300,"Pendiente"))</f>
        <v/>
      </c>
      <c r="O136" s="12" t="str">
        <f aca="false">IF(A136="","",IF(L136=0,"-",M136/L136*1000))</f>
        <v/>
      </c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0" t="str">
        <f aca="false">IF(A137="","",COUNTIF(Posts!$B$2:$B$300,A137))</f>
        <v/>
      </c>
      <c r="L137" s="10" t="str">
        <f aca="false">IF(A137="","",SUMIF(Posts!$B$2:$B$300,A137,Posts!$F$2:$F$300))</f>
        <v/>
      </c>
      <c r="M137" s="11" t="str">
        <f aca="false">IF(A137="","",SUMIFS(Pagos!$D$2:$D$300,Pagos!$B$2:$B$300,A137,Pagos!$F$2:$F$300,"Pagado"))</f>
        <v/>
      </c>
      <c r="N137" s="11" t="str">
        <f aca="false">IF(A137="","",SUMIFS(Pagos!$D$2:$D$300,Pagos!$B$2:$B$300,A137,Pagos!$F$2:$F$300,"Pendiente"))</f>
        <v/>
      </c>
      <c r="O137" s="12" t="str">
        <f aca="false">IF(A137="","",IF(L137=0,"-",M137/L137*1000))</f>
        <v/>
      </c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0" t="str">
        <f aca="false">IF(A138="","",COUNTIF(Posts!$B$2:$B$300,A138))</f>
        <v/>
      </c>
      <c r="L138" s="10" t="str">
        <f aca="false">IF(A138="","",SUMIF(Posts!$B$2:$B$300,A138,Posts!$F$2:$F$300))</f>
        <v/>
      </c>
      <c r="M138" s="11" t="str">
        <f aca="false">IF(A138="","",SUMIFS(Pagos!$D$2:$D$300,Pagos!$B$2:$B$300,A138,Pagos!$F$2:$F$300,"Pagado"))</f>
        <v/>
      </c>
      <c r="N138" s="11" t="str">
        <f aca="false">IF(A138="","",SUMIFS(Pagos!$D$2:$D$300,Pagos!$B$2:$B$300,A138,Pagos!$F$2:$F$300,"Pendiente"))</f>
        <v/>
      </c>
      <c r="O138" s="12" t="str">
        <f aca="false">IF(A138="","",IF(L138=0,"-",M138/L138*1000))</f>
        <v/>
      </c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0" t="str">
        <f aca="false">IF(A139="","",COUNTIF(Posts!$B$2:$B$300,A139))</f>
        <v/>
      </c>
      <c r="L139" s="10" t="str">
        <f aca="false">IF(A139="","",SUMIF(Posts!$B$2:$B$300,A139,Posts!$F$2:$F$300))</f>
        <v/>
      </c>
      <c r="M139" s="11" t="str">
        <f aca="false">IF(A139="","",SUMIFS(Pagos!$D$2:$D$300,Pagos!$B$2:$B$300,A139,Pagos!$F$2:$F$300,"Pagado"))</f>
        <v/>
      </c>
      <c r="N139" s="11" t="str">
        <f aca="false">IF(A139="","",SUMIFS(Pagos!$D$2:$D$300,Pagos!$B$2:$B$300,A139,Pagos!$F$2:$F$300,"Pendiente"))</f>
        <v/>
      </c>
      <c r="O139" s="12" t="str">
        <f aca="false">IF(A139="","",IF(L139=0,"-",M139/L139*1000))</f>
        <v/>
      </c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0" t="str">
        <f aca="false">IF(A140="","",COUNTIF(Posts!$B$2:$B$300,A140))</f>
        <v/>
      </c>
      <c r="L140" s="10" t="str">
        <f aca="false">IF(A140="","",SUMIF(Posts!$B$2:$B$300,A140,Posts!$F$2:$F$300))</f>
        <v/>
      </c>
      <c r="M140" s="11" t="str">
        <f aca="false">IF(A140="","",SUMIFS(Pagos!$D$2:$D$300,Pagos!$B$2:$B$300,A140,Pagos!$F$2:$F$300,"Pagado"))</f>
        <v/>
      </c>
      <c r="N140" s="11" t="str">
        <f aca="false">IF(A140="","",SUMIFS(Pagos!$D$2:$D$300,Pagos!$B$2:$B$300,A140,Pagos!$F$2:$F$300,"Pendiente"))</f>
        <v/>
      </c>
      <c r="O140" s="12" t="str">
        <f aca="false">IF(A140="","",IF(L140=0,"-",M140/L140*1000))</f>
        <v/>
      </c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0" t="str">
        <f aca="false">IF(A141="","",COUNTIF(Posts!$B$2:$B$300,A141))</f>
        <v/>
      </c>
      <c r="L141" s="10" t="str">
        <f aca="false">IF(A141="","",SUMIF(Posts!$B$2:$B$300,A141,Posts!$F$2:$F$300))</f>
        <v/>
      </c>
      <c r="M141" s="11" t="str">
        <f aca="false">IF(A141="","",SUMIFS(Pagos!$D$2:$D$300,Pagos!$B$2:$B$300,A141,Pagos!$F$2:$F$300,"Pagado"))</f>
        <v/>
      </c>
      <c r="N141" s="11" t="str">
        <f aca="false">IF(A141="","",SUMIFS(Pagos!$D$2:$D$300,Pagos!$B$2:$B$300,A141,Pagos!$F$2:$F$300,"Pendiente"))</f>
        <v/>
      </c>
      <c r="O141" s="12" t="str">
        <f aca="false">IF(A141="","",IF(L141=0,"-",M141/L141*1000))</f>
        <v/>
      </c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0" t="str">
        <f aca="false">IF(A142="","",COUNTIF(Posts!$B$2:$B$300,A142))</f>
        <v/>
      </c>
      <c r="L142" s="10" t="str">
        <f aca="false">IF(A142="","",SUMIF(Posts!$B$2:$B$300,A142,Posts!$F$2:$F$300))</f>
        <v/>
      </c>
      <c r="M142" s="11" t="str">
        <f aca="false">IF(A142="","",SUMIFS(Pagos!$D$2:$D$300,Pagos!$B$2:$B$300,A142,Pagos!$F$2:$F$300,"Pagado"))</f>
        <v/>
      </c>
      <c r="N142" s="11" t="str">
        <f aca="false">IF(A142="","",SUMIFS(Pagos!$D$2:$D$300,Pagos!$B$2:$B$300,A142,Pagos!$F$2:$F$300,"Pendiente"))</f>
        <v/>
      </c>
      <c r="O142" s="12" t="str">
        <f aca="false">IF(A142="","",IF(L142=0,"-",M142/L142*1000))</f>
        <v/>
      </c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0" t="str">
        <f aca="false">IF(A143="","",COUNTIF(Posts!$B$2:$B$300,A143))</f>
        <v/>
      </c>
      <c r="L143" s="10" t="str">
        <f aca="false">IF(A143="","",SUMIF(Posts!$B$2:$B$300,A143,Posts!$F$2:$F$300))</f>
        <v/>
      </c>
      <c r="M143" s="11" t="str">
        <f aca="false">IF(A143="","",SUMIFS(Pagos!$D$2:$D$300,Pagos!$B$2:$B$300,A143,Pagos!$F$2:$F$300,"Pagado"))</f>
        <v/>
      </c>
      <c r="N143" s="11" t="str">
        <f aca="false">IF(A143="","",SUMIFS(Pagos!$D$2:$D$300,Pagos!$B$2:$B$300,A143,Pagos!$F$2:$F$300,"Pendiente"))</f>
        <v/>
      </c>
      <c r="O143" s="12" t="str">
        <f aca="false">IF(A143="","",IF(L143=0,"-",M143/L143*1000))</f>
        <v/>
      </c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0" t="str">
        <f aca="false">IF(A144="","",COUNTIF(Posts!$B$2:$B$300,A144))</f>
        <v/>
      </c>
      <c r="L144" s="10" t="str">
        <f aca="false">IF(A144="","",SUMIF(Posts!$B$2:$B$300,A144,Posts!$F$2:$F$300))</f>
        <v/>
      </c>
      <c r="M144" s="11" t="str">
        <f aca="false">IF(A144="","",SUMIFS(Pagos!$D$2:$D$300,Pagos!$B$2:$B$300,A144,Pagos!$F$2:$F$300,"Pagado"))</f>
        <v/>
      </c>
      <c r="N144" s="11" t="str">
        <f aca="false">IF(A144="","",SUMIFS(Pagos!$D$2:$D$300,Pagos!$B$2:$B$300,A144,Pagos!$F$2:$F$300,"Pendiente"))</f>
        <v/>
      </c>
      <c r="O144" s="12" t="str">
        <f aca="false">IF(A144="","",IF(L144=0,"-",M144/L144*1000))</f>
        <v/>
      </c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0" t="str">
        <f aca="false">IF(A145="","",COUNTIF(Posts!$B$2:$B$300,A145))</f>
        <v/>
      </c>
      <c r="L145" s="10" t="str">
        <f aca="false">IF(A145="","",SUMIF(Posts!$B$2:$B$300,A145,Posts!$F$2:$F$300))</f>
        <v/>
      </c>
      <c r="M145" s="11" t="str">
        <f aca="false">IF(A145="","",SUMIFS(Pagos!$D$2:$D$300,Pagos!$B$2:$B$300,A145,Pagos!$F$2:$F$300,"Pagado"))</f>
        <v/>
      </c>
      <c r="N145" s="11" t="str">
        <f aca="false">IF(A145="","",SUMIFS(Pagos!$D$2:$D$300,Pagos!$B$2:$B$300,A145,Pagos!$F$2:$F$300,"Pendiente"))</f>
        <v/>
      </c>
      <c r="O145" s="12" t="str">
        <f aca="false">IF(A145="","",IF(L145=0,"-",M145/L145*1000))</f>
        <v/>
      </c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0" t="str">
        <f aca="false">IF(A146="","",COUNTIF(Posts!$B$2:$B$300,A146))</f>
        <v/>
      </c>
      <c r="L146" s="10" t="str">
        <f aca="false">IF(A146="","",SUMIF(Posts!$B$2:$B$300,A146,Posts!$F$2:$F$300))</f>
        <v/>
      </c>
      <c r="M146" s="11" t="str">
        <f aca="false">IF(A146="","",SUMIFS(Pagos!$D$2:$D$300,Pagos!$B$2:$B$300,A146,Pagos!$F$2:$F$300,"Pagado"))</f>
        <v/>
      </c>
      <c r="N146" s="11" t="str">
        <f aca="false">IF(A146="","",SUMIFS(Pagos!$D$2:$D$300,Pagos!$B$2:$B$300,A146,Pagos!$F$2:$F$300,"Pendiente"))</f>
        <v/>
      </c>
      <c r="O146" s="12" t="str">
        <f aca="false">IF(A146="","",IF(L146=0,"-",M146/L146*1000))</f>
        <v/>
      </c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0" t="str">
        <f aca="false">IF(A147="","",COUNTIF(Posts!$B$2:$B$300,A147))</f>
        <v/>
      </c>
      <c r="L147" s="10" t="str">
        <f aca="false">IF(A147="","",SUMIF(Posts!$B$2:$B$300,A147,Posts!$F$2:$F$300))</f>
        <v/>
      </c>
      <c r="M147" s="11" t="str">
        <f aca="false">IF(A147="","",SUMIFS(Pagos!$D$2:$D$300,Pagos!$B$2:$B$300,A147,Pagos!$F$2:$F$300,"Pagado"))</f>
        <v/>
      </c>
      <c r="N147" s="11" t="str">
        <f aca="false">IF(A147="","",SUMIFS(Pagos!$D$2:$D$300,Pagos!$B$2:$B$300,A147,Pagos!$F$2:$F$300,"Pendiente"))</f>
        <v/>
      </c>
      <c r="O147" s="12" t="str">
        <f aca="false">IF(A147="","",IF(L147=0,"-",M147/L147*1000))</f>
        <v/>
      </c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0" t="str">
        <f aca="false">IF(A148="","",COUNTIF(Posts!$B$2:$B$300,A148))</f>
        <v/>
      </c>
      <c r="L148" s="10" t="str">
        <f aca="false">IF(A148="","",SUMIF(Posts!$B$2:$B$300,A148,Posts!$F$2:$F$300))</f>
        <v/>
      </c>
      <c r="M148" s="11" t="str">
        <f aca="false">IF(A148="","",SUMIFS(Pagos!$D$2:$D$300,Pagos!$B$2:$B$300,A148,Pagos!$F$2:$F$300,"Pagado"))</f>
        <v/>
      </c>
      <c r="N148" s="11" t="str">
        <f aca="false">IF(A148="","",SUMIFS(Pagos!$D$2:$D$300,Pagos!$B$2:$B$300,A148,Pagos!$F$2:$F$300,"Pendiente"))</f>
        <v/>
      </c>
      <c r="O148" s="12" t="str">
        <f aca="false">IF(A148="","",IF(L148=0,"-",M148/L148*1000))</f>
        <v/>
      </c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0" t="str">
        <f aca="false">IF(A149="","",COUNTIF(Posts!$B$2:$B$300,A149))</f>
        <v/>
      </c>
      <c r="L149" s="10" t="str">
        <f aca="false">IF(A149="","",SUMIF(Posts!$B$2:$B$300,A149,Posts!$F$2:$F$300))</f>
        <v/>
      </c>
      <c r="M149" s="11" t="str">
        <f aca="false">IF(A149="","",SUMIFS(Pagos!$D$2:$D$300,Pagos!$B$2:$B$300,A149,Pagos!$F$2:$F$300,"Pagado"))</f>
        <v/>
      </c>
      <c r="N149" s="11" t="str">
        <f aca="false">IF(A149="","",SUMIFS(Pagos!$D$2:$D$300,Pagos!$B$2:$B$300,A149,Pagos!$F$2:$F$300,"Pendiente"))</f>
        <v/>
      </c>
      <c r="O149" s="12" t="str">
        <f aca="false">IF(A149="","",IF(L149=0,"-",M149/L149*1000))</f>
        <v/>
      </c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0" t="str">
        <f aca="false">IF(A150="","",COUNTIF(Posts!$B$2:$B$300,A150))</f>
        <v/>
      </c>
      <c r="L150" s="10" t="str">
        <f aca="false">IF(A150="","",SUMIF(Posts!$B$2:$B$300,A150,Posts!$F$2:$F$300))</f>
        <v/>
      </c>
      <c r="M150" s="11" t="str">
        <f aca="false">IF(A150="","",SUMIFS(Pagos!$D$2:$D$300,Pagos!$B$2:$B$300,A150,Pagos!$F$2:$F$300,"Pagado"))</f>
        <v/>
      </c>
      <c r="N150" s="11" t="str">
        <f aca="false">IF(A150="","",SUMIFS(Pagos!$D$2:$D$300,Pagos!$B$2:$B$300,A150,Pagos!$F$2:$F$300,"Pendiente"))</f>
        <v/>
      </c>
      <c r="O150" s="12" t="str">
        <f aca="false">IF(A150="","",IF(L150=0,"-",M150/L150*1000))</f>
        <v/>
      </c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0" t="str">
        <f aca="false">IF(A151="","",COUNTIF(Posts!$B$2:$B$300,A151))</f>
        <v/>
      </c>
      <c r="L151" s="10" t="str">
        <f aca="false">IF(A151="","",SUMIF(Posts!$B$2:$B$300,A151,Posts!$F$2:$F$300))</f>
        <v/>
      </c>
      <c r="M151" s="11" t="str">
        <f aca="false">IF(A151="","",SUMIFS(Pagos!$D$2:$D$300,Pagos!$B$2:$B$300,A151,Pagos!$F$2:$F$300,"Pagado"))</f>
        <v/>
      </c>
      <c r="N151" s="11" t="str">
        <f aca="false">IF(A151="","",SUMIFS(Pagos!$D$2:$D$300,Pagos!$B$2:$B$300,A151,Pagos!$F$2:$F$300,"Pendiente"))</f>
        <v/>
      </c>
      <c r="O151" s="12" t="str">
        <f aca="false">IF(A151="","",IF(L151=0,"-",M151/L151*1000))</f>
        <v/>
      </c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0" t="str">
        <f aca="false">IF(A152="","",COUNTIF(Posts!$B$2:$B$300,A152))</f>
        <v/>
      </c>
      <c r="L152" s="10" t="str">
        <f aca="false">IF(A152="","",SUMIF(Posts!$B$2:$B$300,A152,Posts!$F$2:$F$300))</f>
        <v/>
      </c>
      <c r="M152" s="11" t="str">
        <f aca="false">IF(A152="","",SUMIFS(Pagos!$D$2:$D$300,Pagos!$B$2:$B$300,A152,Pagos!$F$2:$F$300,"Pagado"))</f>
        <v/>
      </c>
      <c r="N152" s="11" t="str">
        <f aca="false">IF(A152="","",SUMIFS(Pagos!$D$2:$D$300,Pagos!$B$2:$B$300,A152,Pagos!$F$2:$F$300,"Pendiente"))</f>
        <v/>
      </c>
      <c r="O152" s="12" t="str">
        <f aca="false">IF(A152="","",IF(L152=0,"-",M152/L152*1000))</f>
        <v/>
      </c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0" t="str">
        <f aca="false">IF(A153="","",COUNTIF(Posts!$B$2:$B$300,A153))</f>
        <v/>
      </c>
      <c r="L153" s="10" t="str">
        <f aca="false">IF(A153="","",SUMIF(Posts!$B$2:$B$300,A153,Posts!$F$2:$F$300))</f>
        <v/>
      </c>
      <c r="M153" s="11" t="str">
        <f aca="false">IF(A153="","",SUMIFS(Pagos!$D$2:$D$300,Pagos!$B$2:$B$300,A153,Pagos!$F$2:$F$300,"Pagado"))</f>
        <v/>
      </c>
      <c r="N153" s="11" t="str">
        <f aca="false">IF(A153="","",SUMIFS(Pagos!$D$2:$D$300,Pagos!$B$2:$B$300,A153,Pagos!$F$2:$F$300,"Pendiente"))</f>
        <v/>
      </c>
      <c r="O153" s="12" t="str">
        <f aca="false">IF(A153="","",IF(L153=0,"-",M153/L153*1000))</f>
        <v/>
      </c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0" t="str">
        <f aca="false">IF(A154="","",COUNTIF(Posts!$B$2:$B$300,A154))</f>
        <v/>
      </c>
      <c r="L154" s="10" t="str">
        <f aca="false">IF(A154="","",SUMIF(Posts!$B$2:$B$300,A154,Posts!$F$2:$F$300))</f>
        <v/>
      </c>
      <c r="M154" s="11" t="str">
        <f aca="false">IF(A154="","",SUMIFS(Pagos!$D$2:$D$300,Pagos!$B$2:$B$300,A154,Pagos!$F$2:$F$300,"Pagado"))</f>
        <v/>
      </c>
      <c r="N154" s="11" t="str">
        <f aca="false">IF(A154="","",SUMIFS(Pagos!$D$2:$D$300,Pagos!$B$2:$B$300,A154,Pagos!$F$2:$F$300,"Pendiente"))</f>
        <v/>
      </c>
      <c r="O154" s="12" t="str">
        <f aca="false">IF(A154="","",IF(L154=0,"-",M154/L154*1000))</f>
        <v/>
      </c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0" t="str">
        <f aca="false">IF(A155="","",COUNTIF(Posts!$B$2:$B$300,A155))</f>
        <v/>
      </c>
      <c r="L155" s="10" t="str">
        <f aca="false">IF(A155="","",SUMIF(Posts!$B$2:$B$300,A155,Posts!$F$2:$F$300))</f>
        <v/>
      </c>
      <c r="M155" s="11" t="str">
        <f aca="false">IF(A155="","",SUMIFS(Pagos!$D$2:$D$300,Pagos!$B$2:$B$300,A155,Pagos!$F$2:$F$300,"Pagado"))</f>
        <v/>
      </c>
      <c r="N155" s="11" t="str">
        <f aca="false">IF(A155="","",SUMIFS(Pagos!$D$2:$D$300,Pagos!$B$2:$B$300,A155,Pagos!$F$2:$F$300,"Pendiente"))</f>
        <v/>
      </c>
      <c r="O155" s="12" t="str">
        <f aca="false">IF(A155="","",IF(L155=0,"-",M155/L155*1000))</f>
        <v/>
      </c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0" t="str">
        <f aca="false">IF(A156="","",COUNTIF(Posts!$B$2:$B$300,A156))</f>
        <v/>
      </c>
      <c r="L156" s="10" t="str">
        <f aca="false">IF(A156="","",SUMIF(Posts!$B$2:$B$300,A156,Posts!$F$2:$F$300))</f>
        <v/>
      </c>
      <c r="M156" s="11" t="str">
        <f aca="false">IF(A156="","",SUMIFS(Pagos!$D$2:$D$300,Pagos!$B$2:$B$300,A156,Pagos!$F$2:$F$300,"Pagado"))</f>
        <v/>
      </c>
      <c r="N156" s="11" t="str">
        <f aca="false">IF(A156="","",SUMIFS(Pagos!$D$2:$D$300,Pagos!$B$2:$B$300,A156,Pagos!$F$2:$F$300,"Pendiente"))</f>
        <v/>
      </c>
      <c r="O156" s="12" t="str">
        <f aca="false">IF(A156="","",IF(L156=0,"-",M156/L156*1000))</f>
        <v/>
      </c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0" t="str">
        <f aca="false">IF(A157="","",COUNTIF(Posts!$B$2:$B$300,A157))</f>
        <v/>
      </c>
      <c r="L157" s="10" t="str">
        <f aca="false">IF(A157="","",SUMIF(Posts!$B$2:$B$300,A157,Posts!$F$2:$F$300))</f>
        <v/>
      </c>
      <c r="M157" s="11" t="str">
        <f aca="false">IF(A157="","",SUMIFS(Pagos!$D$2:$D$300,Pagos!$B$2:$B$300,A157,Pagos!$F$2:$F$300,"Pagado"))</f>
        <v/>
      </c>
      <c r="N157" s="11" t="str">
        <f aca="false">IF(A157="","",SUMIFS(Pagos!$D$2:$D$300,Pagos!$B$2:$B$300,A157,Pagos!$F$2:$F$300,"Pendiente"))</f>
        <v/>
      </c>
      <c r="O157" s="12" t="str">
        <f aca="false">IF(A157="","",IF(L157=0,"-",M157/L157*1000))</f>
        <v/>
      </c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0" t="str">
        <f aca="false">IF(A158="","",COUNTIF(Posts!$B$2:$B$300,A158))</f>
        <v/>
      </c>
      <c r="L158" s="10" t="str">
        <f aca="false">IF(A158="","",SUMIF(Posts!$B$2:$B$300,A158,Posts!$F$2:$F$300))</f>
        <v/>
      </c>
      <c r="M158" s="11" t="str">
        <f aca="false">IF(A158="","",SUMIFS(Pagos!$D$2:$D$300,Pagos!$B$2:$B$300,A158,Pagos!$F$2:$F$300,"Pagado"))</f>
        <v/>
      </c>
      <c r="N158" s="11" t="str">
        <f aca="false">IF(A158="","",SUMIFS(Pagos!$D$2:$D$300,Pagos!$B$2:$B$300,A158,Pagos!$F$2:$F$300,"Pendiente"))</f>
        <v/>
      </c>
      <c r="O158" s="12" t="str">
        <f aca="false">IF(A158="","",IF(L158=0,"-",M158/L158*1000))</f>
        <v/>
      </c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0" t="str">
        <f aca="false">IF(A159="","",COUNTIF(Posts!$B$2:$B$300,A159))</f>
        <v/>
      </c>
      <c r="L159" s="10" t="str">
        <f aca="false">IF(A159="","",SUMIF(Posts!$B$2:$B$300,A159,Posts!$F$2:$F$300))</f>
        <v/>
      </c>
      <c r="M159" s="11" t="str">
        <f aca="false">IF(A159="","",SUMIFS(Pagos!$D$2:$D$300,Pagos!$B$2:$B$300,A159,Pagos!$F$2:$F$300,"Pagado"))</f>
        <v/>
      </c>
      <c r="N159" s="11" t="str">
        <f aca="false">IF(A159="","",SUMIFS(Pagos!$D$2:$D$300,Pagos!$B$2:$B$300,A159,Pagos!$F$2:$F$300,"Pendiente"))</f>
        <v/>
      </c>
      <c r="O159" s="12" t="str">
        <f aca="false">IF(A159="","",IF(L159=0,"-",M159/L159*1000))</f>
        <v/>
      </c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0" t="str">
        <f aca="false">IF(A160="","",COUNTIF(Posts!$B$2:$B$300,A160))</f>
        <v/>
      </c>
      <c r="L160" s="10" t="str">
        <f aca="false">IF(A160="","",SUMIF(Posts!$B$2:$B$300,A160,Posts!$F$2:$F$300))</f>
        <v/>
      </c>
      <c r="M160" s="11" t="str">
        <f aca="false">IF(A160="","",SUMIFS(Pagos!$D$2:$D$300,Pagos!$B$2:$B$300,A160,Pagos!$F$2:$F$300,"Pagado"))</f>
        <v/>
      </c>
      <c r="N160" s="11" t="str">
        <f aca="false">IF(A160="","",SUMIFS(Pagos!$D$2:$D$300,Pagos!$B$2:$B$300,A160,Pagos!$F$2:$F$300,"Pendiente"))</f>
        <v/>
      </c>
      <c r="O160" s="12" t="str">
        <f aca="false">IF(A160="","",IF(L160=0,"-",M160/L160*1000))</f>
        <v/>
      </c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0" t="str">
        <f aca="false">IF(A161="","",COUNTIF(Posts!$B$2:$B$300,A161))</f>
        <v/>
      </c>
      <c r="L161" s="10" t="str">
        <f aca="false">IF(A161="","",SUMIF(Posts!$B$2:$B$300,A161,Posts!$F$2:$F$300))</f>
        <v/>
      </c>
      <c r="M161" s="11" t="str">
        <f aca="false">IF(A161="","",SUMIFS(Pagos!$D$2:$D$300,Pagos!$B$2:$B$300,A161,Pagos!$F$2:$F$300,"Pagado"))</f>
        <v/>
      </c>
      <c r="N161" s="11" t="str">
        <f aca="false">IF(A161="","",SUMIFS(Pagos!$D$2:$D$300,Pagos!$B$2:$B$300,A161,Pagos!$F$2:$F$300,"Pendiente"))</f>
        <v/>
      </c>
      <c r="O161" s="12" t="str">
        <f aca="false">IF(A161="","",IF(L161=0,"-",M161/L161*1000))</f>
        <v/>
      </c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0" t="str">
        <f aca="false">IF(A162="","",COUNTIF(Posts!$B$2:$B$300,A162))</f>
        <v/>
      </c>
      <c r="L162" s="10" t="str">
        <f aca="false">IF(A162="","",SUMIF(Posts!$B$2:$B$300,A162,Posts!$F$2:$F$300))</f>
        <v/>
      </c>
      <c r="M162" s="11" t="str">
        <f aca="false">IF(A162="","",SUMIFS(Pagos!$D$2:$D$300,Pagos!$B$2:$B$300,A162,Pagos!$F$2:$F$300,"Pagado"))</f>
        <v/>
      </c>
      <c r="N162" s="11" t="str">
        <f aca="false">IF(A162="","",SUMIFS(Pagos!$D$2:$D$300,Pagos!$B$2:$B$300,A162,Pagos!$F$2:$F$300,"Pendiente"))</f>
        <v/>
      </c>
      <c r="O162" s="12" t="str">
        <f aca="false">IF(A162="","",IF(L162=0,"-",M162/L162*1000))</f>
        <v/>
      </c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0" t="str">
        <f aca="false">IF(A163="","",COUNTIF(Posts!$B$2:$B$300,A163))</f>
        <v/>
      </c>
      <c r="L163" s="10" t="str">
        <f aca="false">IF(A163="","",SUMIF(Posts!$B$2:$B$300,A163,Posts!$F$2:$F$300))</f>
        <v/>
      </c>
      <c r="M163" s="11" t="str">
        <f aca="false">IF(A163="","",SUMIFS(Pagos!$D$2:$D$300,Pagos!$B$2:$B$300,A163,Pagos!$F$2:$F$300,"Pagado"))</f>
        <v/>
      </c>
      <c r="N163" s="11" t="str">
        <f aca="false">IF(A163="","",SUMIFS(Pagos!$D$2:$D$300,Pagos!$B$2:$B$300,A163,Pagos!$F$2:$F$300,"Pendiente"))</f>
        <v/>
      </c>
      <c r="O163" s="12" t="str">
        <f aca="false">IF(A163="","",IF(L163=0,"-",M163/L163*1000))</f>
        <v/>
      </c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0" t="str">
        <f aca="false">IF(A164="","",COUNTIF(Posts!$B$2:$B$300,A164))</f>
        <v/>
      </c>
      <c r="L164" s="10" t="str">
        <f aca="false">IF(A164="","",SUMIF(Posts!$B$2:$B$300,A164,Posts!$F$2:$F$300))</f>
        <v/>
      </c>
      <c r="M164" s="11" t="str">
        <f aca="false">IF(A164="","",SUMIFS(Pagos!$D$2:$D$300,Pagos!$B$2:$B$300,A164,Pagos!$F$2:$F$300,"Pagado"))</f>
        <v/>
      </c>
      <c r="N164" s="11" t="str">
        <f aca="false">IF(A164="","",SUMIFS(Pagos!$D$2:$D$300,Pagos!$B$2:$B$300,A164,Pagos!$F$2:$F$300,"Pendiente"))</f>
        <v/>
      </c>
      <c r="O164" s="12" t="str">
        <f aca="false">IF(A164="","",IF(L164=0,"-",M164/L164*1000))</f>
        <v/>
      </c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0" t="str">
        <f aca="false">IF(A165="","",COUNTIF(Posts!$B$2:$B$300,A165))</f>
        <v/>
      </c>
      <c r="L165" s="10" t="str">
        <f aca="false">IF(A165="","",SUMIF(Posts!$B$2:$B$300,A165,Posts!$F$2:$F$300))</f>
        <v/>
      </c>
      <c r="M165" s="11" t="str">
        <f aca="false">IF(A165="","",SUMIFS(Pagos!$D$2:$D$300,Pagos!$B$2:$B$300,A165,Pagos!$F$2:$F$300,"Pagado"))</f>
        <v/>
      </c>
      <c r="N165" s="11" t="str">
        <f aca="false">IF(A165="","",SUMIFS(Pagos!$D$2:$D$300,Pagos!$B$2:$B$300,A165,Pagos!$F$2:$F$300,"Pendiente"))</f>
        <v/>
      </c>
      <c r="O165" s="12" t="str">
        <f aca="false">IF(A165="","",IF(L165=0,"-",M165/L165*1000))</f>
        <v/>
      </c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0" t="str">
        <f aca="false">IF(A166="","",COUNTIF(Posts!$B$2:$B$300,A166))</f>
        <v/>
      </c>
      <c r="L166" s="10" t="str">
        <f aca="false">IF(A166="","",SUMIF(Posts!$B$2:$B$300,A166,Posts!$F$2:$F$300))</f>
        <v/>
      </c>
      <c r="M166" s="11" t="str">
        <f aca="false">IF(A166="","",SUMIFS(Pagos!$D$2:$D$300,Pagos!$B$2:$B$300,A166,Pagos!$F$2:$F$300,"Pagado"))</f>
        <v/>
      </c>
      <c r="N166" s="11" t="str">
        <f aca="false">IF(A166="","",SUMIFS(Pagos!$D$2:$D$300,Pagos!$B$2:$B$300,A166,Pagos!$F$2:$F$300,"Pendiente"))</f>
        <v/>
      </c>
      <c r="O166" s="12" t="str">
        <f aca="false">IF(A166="","",IF(L166=0,"-",M166/L166*1000))</f>
        <v/>
      </c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0" t="str">
        <f aca="false">IF(A167="","",COUNTIF(Posts!$B$2:$B$300,A167))</f>
        <v/>
      </c>
      <c r="L167" s="10" t="str">
        <f aca="false">IF(A167="","",SUMIF(Posts!$B$2:$B$300,A167,Posts!$F$2:$F$300))</f>
        <v/>
      </c>
      <c r="M167" s="11" t="str">
        <f aca="false">IF(A167="","",SUMIFS(Pagos!$D$2:$D$300,Pagos!$B$2:$B$300,A167,Pagos!$F$2:$F$300,"Pagado"))</f>
        <v/>
      </c>
      <c r="N167" s="11" t="str">
        <f aca="false">IF(A167="","",SUMIFS(Pagos!$D$2:$D$300,Pagos!$B$2:$B$300,A167,Pagos!$F$2:$F$300,"Pendiente"))</f>
        <v/>
      </c>
      <c r="O167" s="12" t="str">
        <f aca="false">IF(A167="","",IF(L167=0,"-",M167/L167*1000))</f>
        <v/>
      </c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0" t="str">
        <f aca="false">IF(A168="","",COUNTIF(Posts!$B$2:$B$300,A168))</f>
        <v/>
      </c>
      <c r="L168" s="10" t="str">
        <f aca="false">IF(A168="","",SUMIF(Posts!$B$2:$B$300,A168,Posts!$F$2:$F$300))</f>
        <v/>
      </c>
      <c r="M168" s="11" t="str">
        <f aca="false">IF(A168="","",SUMIFS(Pagos!$D$2:$D$300,Pagos!$B$2:$B$300,A168,Pagos!$F$2:$F$300,"Pagado"))</f>
        <v/>
      </c>
      <c r="N168" s="11" t="str">
        <f aca="false">IF(A168="","",SUMIFS(Pagos!$D$2:$D$300,Pagos!$B$2:$B$300,A168,Pagos!$F$2:$F$300,"Pendiente"))</f>
        <v/>
      </c>
      <c r="O168" s="12" t="str">
        <f aca="false">IF(A168="","",IF(L168=0,"-",M168/L168*1000))</f>
        <v/>
      </c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0" t="str">
        <f aca="false">IF(A169="","",COUNTIF(Posts!$B$2:$B$300,A169))</f>
        <v/>
      </c>
      <c r="L169" s="10" t="str">
        <f aca="false">IF(A169="","",SUMIF(Posts!$B$2:$B$300,A169,Posts!$F$2:$F$300))</f>
        <v/>
      </c>
      <c r="M169" s="11" t="str">
        <f aca="false">IF(A169="","",SUMIFS(Pagos!$D$2:$D$300,Pagos!$B$2:$B$300,A169,Pagos!$F$2:$F$300,"Pagado"))</f>
        <v/>
      </c>
      <c r="N169" s="11" t="str">
        <f aca="false">IF(A169="","",SUMIFS(Pagos!$D$2:$D$300,Pagos!$B$2:$B$300,A169,Pagos!$F$2:$F$300,"Pendiente"))</f>
        <v/>
      </c>
      <c r="O169" s="12" t="str">
        <f aca="false">IF(A169="","",IF(L169=0,"-",M169/L169*1000))</f>
        <v/>
      </c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0" t="str">
        <f aca="false">IF(A170="","",COUNTIF(Posts!$B$2:$B$300,A170))</f>
        <v/>
      </c>
      <c r="L170" s="10" t="str">
        <f aca="false">IF(A170="","",SUMIF(Posts!$B$2:$B$300,A170,Posts!$F$2:$F$300))</f>
        <v/>
      </c>
      <c r="M170" s="11" t="str">
        <f aca="false">IF(A170="","",SUMIFS(Pagos!$D$2:$D$300,Pagos!$B$2:$B$300,A170,Pagos!$F$2:$F$300,"Pagado"))</f>
        <v/>
      </c>
      <c r="N170" s="11" t="str">
        <f aca="false">IF(A170="","",SUMIFS(Pagos!$D$2:$D$300,Pagos!$B$2:$B$300,A170,Pagos!$F$2:$F$300,"Pendiente"))</f>
        <v/>
      </c>
      <c r="O170" s="12" t="str">
        <f aca="false">IF(A170="","",IF(L170=0,"-",M170/L170*1000))</f>
        <v/>
      </c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0" t="str">
        <f aca="false">IF(A171="","",COUNTIF(Posts!$B$2:$B$300,A171))</f>
        <v/>
      </c>
      <c r="L171" s="10" t="str">
        <f aca="false">IF(A171="","",SUMIF(Posts!$B$2:$B$300,A171,Posts!$F$2:$F$300))</f>
        <v/>
      </c>
      <c r="M171" s="11" t="str">
        <f aca="false">IF(A171="","",SUMIFS(Pagos!$D$2:$D$300,Pagos!$B$2:$B$300,A171,Pagos!$F$2:$F$300,"Pagado"))</f>
        <v/>
      </c>
      <c r="N171" s="11" t="str">
        <f aca="false">IF(A171="","",SUMIFS(Pagos!$D$2:$D$300,Pagos!$B$2:$B$300,A171,Pagos!$F$2:$F$300,"Pendiente"))</f>
        <v/>
      </c>
      <c r="O171" s="12" t="str">
        <f aca="false">IF(A171="","",IF(L171=0,"-",M171/L171*1000))</f>
        <v/>
      </c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0" t="str">
        <f aca="false">IF(A172="","",COUNTIF(Posts!$B$2:$B$300,A172))</f>
        <v/>
      </c>
      <c r="L172" s="10" t="str">
        <f aca="false">IF(A172="","",SUMIF(Posts!$B$2:$B$300,A172,Posts!$F$2:$F$300))</f>
        <v/>
      </c>
      <c r="M172" s="11" t="str">
        <f aca="false">IF(A172="","",SUMIFS(Pagos!$D$2:$D$300,Pagos!$B$2:$B$300,A172,Pagos!$F$2:$F$300,"Pagado"))</f>
        <v/>
      </c>
      <c r="N172" s="11" t="str">
        <f aca="false">IF(A172="","",SUMIFS(Pagos!$D$2:$D$300,Pagos!$B$2:$B$300,A172,Pagos!$F$2:$F$300,"Pendiente"))</f>
        <v/>
      </c>
      <c r="O172" s="12" t="str">
        <f aca="false">IF(A172="","",IF(L172=0,"-",M172/L172*1000))</f>
        <v/>
      </c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0" t="str">
        <f aca="false">IF(A173="","",COUNTIF(Posts!$B$2:$B$300,A173))</f>
        <v/>
      </c>
      <c r="L173" s="10" t="str">
        <f aca="false">IF(A173="","",SUMIF(Posts!$B$2:$B$300,A173,Posts!$F$2:$F$300))</f>
        <v/>
      </c>
      <c r="M173" s="11" t="str">
        <f aca="false">IF(A173="","",SUMIFS(Pagos!$D$2:$D$300,Pagos!$B$2:$B$300,A173,Pagos!$F$2:$F$300,"Pagado"))</f>
        <v/>
      </c>
      <c r="N173" s="11" t="str">
        <f aca="false">IF(A173="","",SUMIFS(Pagos!$D$2:$D$300,Pagos!$B$2:$B$300,A173,Pagos!$F$2:$F$300,"Pendiente"))</f>
        <v/>
      </c>
      <c r="O173" s="12" t="str">
        <f aca="false">IF(A173="","",IF(L173=0,"-",M173/L173*1000))</f>
        <v/>
      </c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0" t="str">
        <f aca="false">IF(A174="","",COUNTIF(Posts!$B$2:$B$300,A174))</f>
        <v/>
      </c>
      <c r="L174" s="10" t="str">
        <f aca="false">IF(A174="","",SUMIF(Posts!$B$2:$B$300,A174,Posts!$F$2:$F$300))</f>
        <v/>
      </c>
      <c r="M174" s="11" t="str">
        <f aca="false">IF(A174="","",SUMIFS(Pagos!$D$2:$D$300,Pagos!$B$2:$B$300,A174,Pagos!$F$2:$F$300,"Pagado"))</f>
        <v/>
      </c>
      <c r="N174" s="11" t="str">
        <f aca="false">IF(A174="","",SUMIFS(Pagos!$D$2:$D$300,Pagos!$B$2:$B$300,A174,Pagos!$F$2:$F$300,"Pendiente"))</f>
        <v/>
      </c>
      <c r="O174" s="12" t="str">
        <f aca="false">IF(A174="","",IF(L174=0,"-",M174/L174*1000))</f>
        <v/>
      </c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0" t="str">
        <f aca="false">IF(A175="","",COUNTIF(Posts!$B$2:$B$300,A175))</f>
        <v/>
      </c>
      <c r="L175" s="10" t="str">
        <f aca="false">IF(A175="","",SUMIF(Posts!$B$2:$B$300,A175,Posts!$F$2:$F$300))</f>
        <v/>
      </c>
      <c r="M175" s="11" t="str">
        <f aca="false">IF(A175="","",SUMIFS(Pagos!$D$2:$D$300,Pagos!$B$2:$B$300,A175,Pagos!$F$2:$F$300,"Pagado"))</f>
        <v/>
      </c>
      <c r="N175" s="11" t="str">
        <f aca="false">IF(A175="","",SUMIFS(Pagos!$D$2:$D$300,Pagos!$B$2:$B$300,A175,Pagos!$F$2:$F$300,"Pendiente"))</f>
        <v/>
      </c>
      <c r="O175" s="12" t="str">
        <f aca="false">IF(A175="","",IF(L175=0,"-",M175/L175*1000))</f>
        <v/>
      </c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0" t="str">
        <f aca="false">IF(A176="","",COUNTIF(Posts!$B$2:$B$300,A176))</f>
        <v/>
      </c>
      <c r="L176" s="10" t="str">
        <f aca="false">IF(A176="","",SUMIF(Posts!$B$2:$B$300,A176,Posts!$F$2:$F$300))</f>
        <v/>
      </c>
      <c r="M176" s="11" t="str">
        <f aca="false">IF(A176="","",SUMIFS(Pagos!$D$2:$D$300,Pagos!$B$2:$B$300,A176,Pagos!$F$2:$F$300,"Pagado"))</f>
        <v/>
      </c>
      <c r="N176" s="11" t="str">
        <f aca="false">IF(A176="","",SUMIFS(Pagos!$D$2:$D$300,Pagos!$B$2:$B$300,A176,Pagos!$F$2:$F$300,"Pendiente"))</f>
        <v/>
      </c>
      <c r="O176" s="12" t="str">
        <f aca="false">IF(A176="","",IF(L176=0,"-",M176/L176*1000))</f>
        <v/>
      </c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0" t="str">
        <f aca="false">IF(A177="","",COUNTIF(Posts!$B$2:$B$300,A177))</f>
        <v/>
      </c>
      <c r="L177" s="10" t="str">
        <f aca="false">IF(A177="","",SUMIF(Posts!$B$2:$B$300,A177,Posts!$F$2:$F$300))</f>
        <v/>
      </c>
      <c r="M177" s="11" t="str">
        <f aca="false">IF(A177="","",SUMIFS(Pagos!$D$2:$D$300,Pagos!$B$2:$B$300,A177,Pagos!$F$2:$F$300,"Pagado"))</f>
        <v/>
      </c>
      <c r="N177" s="11" t="str">
        <f aca="false">IF(A177="","",SUMIFS(Pagos!$D$2:$D$300,Pagos!$B$2:$B$300,A177,Pagos!$F$2:$F$300,"Pendiente"))</f>
        <v/>
      </c>
      <c r="O177" s="12" t="str">
        <f aca="false">IF(A177="","",IF(L177=0,"-",M177/L177*1000))</f>
        <v/>
      </c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0" t="str">
        <f aca="false">IF(A178="","",COUNTIF(Posts!$B$2:$B$300,A178))</f>
        <v/>
      </c>
      <c r="L178" s="10" t="str">
        <f aca="false">IF(A178="","",SUMIF(Posts!$B$2:$B$300,A178,Posts!$F$2:$F$300))</f>
        <v/>
      </c>
      <c r="M178" s="11" t="str">
        <f aca="false">IF(A178="","",SUMIFS(Pagos!$D$2:$D$300,Pagos!$B$2:$B$300,A178,Pagos!$F$2:$F$300,"Pagado"))</f>
        <v/>
      </c>
      <c r="N178" s="11" t="str">
        <f aca="false">IF(A178="","",SUMIFS(Pagos!$D$2:$D$300,Pagos!$B$2:$B$300,A178,Pagos!$F$2:$F$300,"Pendiente"))</f>
        <v/>
      </c>
      <c r="O178" s="12" t="str">
        <f aca="false">IF(A178="","",IF(L178=0,"-",M178/L178*1000))</f>
        <v/>
      </c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0" t="str">
        <f aca="false">IF(A179="","",COUNTIF(Posts!$B$2:$B$300,A179))</f>
        <v/>
      </c>
      <c r="L179" s="10" t="str">
        <f aca="false">IF(A179="","",SUMIF(Posts!$B$2:$B$300,A179,Posts!$F$2:$F$300))</f>
        <v/>
      </c>
      <c r="M179" s="11" t="str">
        <f aca="false">IF(A179="","",SUMIFS(Pagos!$D$2:$D$300,Pagos!$B$2:$B$300,A179,Pagos!$F$2:$F$300,"Pagado"))</f>
        <v/>
      </c>
      <c r="N179" s="11" t="str">
        <f aca="false">IF(A179="","",SUMIFS(Pagos!$D$2:$D$300,Pagos!$B$2:$B$300,A179,Pagos!$F$2:$F$300,"Pendiente"))</f>
        <v/>
      </c>
      <c r="O179" s="12" t="str">
        <f aca="false">IF(A179="","",IF(L179=0,"-",M179/L179*1000))</f>
        <v/>
      </c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0" t="str">
        <f aca="false">IF(A180="","",COUNTIF(Posts!$B$2:$B$300,A180))</f>
        <v/>
      </c>
      <c r="L180" s="10" t="str">
        <f aca="false">IF(A180="","",SUMIF(Posts!$B$2:$B$300,A180,Posts!$F$2:$F$300))</f>
        <v/>
      </c>
      <c r="M180" s="11" t="str">
        <f aca="false">IF(A180="","",SUMIFS(Pagos!$D$2:$D$300,Pagos!$B$2:$B$300,A180,Pagos!$F$2:$F$300,"Pagado"))</f>
        <v/>
      </c>
      <c r="N180" s="11" t="str">
        <f aca="false">IF(A180="","",SUMIFS(Pagos!$D$2:$D$300,Pagos!$B$2:$B$300,A180,Pagos!$F$2:$F$300,"Pendiente"))</f>
        <v/>
      </c>
      <c r="O180" s="12" t="str">
        <f aca="false">IF(A180="","",IF(L180=0,"-",M180/L180*1000))</f>
        <v/>
      </c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0" t="str">
        <f aca="false">IF(A181="","",COUNTIF(Posts!$B$2:$B$300,A181))</f>
        <v/>
      </c>
      <c r="L181" s="10" t="str">
        <f aca="false">IF(A181="","",SUMIF(Posts!$B$2:$B$300,A181,Posts!$F$2:$F$300))</f>
        <v/>
      </c>
      <c r="M181" s="11" t="str">
        <f aca="false">IF(A181="","",SUMIFS(Pagos!$D$2:$D$300,Pagos!$B$2:$B$300,A181,Pagos!$F$2:$F$300,"Pagado"))</f>
        <v/>
      </c>
      <c r="N181" s="11" t="str">
        <f aca="false">IF(A181="","",SUMIFS(Pagos!$D$2:$D$300,Pagos!$B$2:$B$300,A181,Pagos!$F$2:$F$300,"Pendiente"))</f>
        <v/>
      </c>
      <c r="O181" s="12" t="str">
        <f aca="false">IF(A181="","",IF(L181=0,"-",M181/L181*1000))</f>
        <v/>
      </c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0" t="str">
        <f aca="false">IF(A182="","",COUNTIF(Posts!$B$2:$B$300,A182))</f>
        <v/>
      </c>
      <c r="L182" s="10" t="str">
        <f aca="false">IF(A182="","",SUMIF(Posts!$B$2:$B$300,A182,Posts!$F$2:$F$300))</f>
        <v/>
      </c>
      <c r="M182" s="11" t="str">
        <f aca="false">IF(A182="","",SUMIFS(Pagos!$D$2:$D$300,Pagos!$B$2:$B$300,A182,Pagos!$F$2:$F$300,"Pagado"))</f>
        <v/>
      </c>
      <c r="N182" s="11" t="str">
        <f aca="false">IF(A182="","",SUMIFS(Pagos!$D$2:$D$300,Pagos!$B$2:$B$300,A182,Pagos!$F$2:$F$300,"Pendiente"))</f>
        <v/>
      </c>
      <c r="O182" s="12" t="str">
        <f aca="false">IF(A182="","",IF(L182=0,"-",M182/L182*1000))</f>
        <v/>
      </c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0" t="str">
        <f aca="false">IF(A183="","",COUNTIF(Posts!$B$2:$B$300,A183))</f>
        <v/>
      </c>
      <c r="L183" s="10" t="str">
        <f aca="false">IF(A183="","",SUMIF(Posts!$B$2:$B$300,A183,Posts!$F$2:$F$300))</f>
        <v/>
      </c>
      <c r="M183" s="11" t="str">
        <f aca="false">IF(A183="","",SUMIFS(Pagos!$D$2:$D$300,Pagos!$B$2:$B$300,A183,Pagos!$F$2:$F$300,"Pagado"))</f>
        <v/>
      </c>
      <c r="N183" s="11" t="str">
        <f aca="false">IF(A183="","",SUMIFS(Pagos!$D$2:$D$300,Pagos!$B$2:$B$300,A183,Pagos!$F$2:$F$300,"Pendiente"))</f>
        <v/>
      </c>
      <c r="O183" s="12" t="str">
        <f aca="false">IF(A183="","",IF(L183=0,"-",M183/L183*1000))</f>
        <v/>
      </c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0" t="str">
        <f aca="false">IF(A184="","",COUNTIF(Posts!$B$2:$B$300,A184))</f>
        <v/>
      </c>
      <c r="L184" s="10" t="str">
        <f aca="false">IF(A184="","",SUMIF(Posts!$B$2:$B$300,A184,Posts!$F$2:$F$300))</f>
        <v/>
      </c>
      <c r="M184" s="11" t="str">
        <f aca="false">IF(A184="","",SUMIFS(Pagos!$D$2:$D$300,Pagos!$B$2:$B$300,A184,Pagos!$F$2:$F$300,"Pagado"))</f>
        <v/>
      </c>
      <c r="N184" s="11" t="str">
        <f aca="false">IF(A184="","",SUMIFS(Pagos!$D$2:$D$300,Pagos!$B$2:$B$300,A184,Pagos!$F$2:$F$300,"Pendiente"))</f>
        <v/>
      </c>
      <c r="O184" s="12" t="str">
        <f aca="false">IF(A184="","",IF(L184=0,"-",M184/L184*1000))</f>
        <v/>
      </c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0" t="str">
        <f aca="false">IF(A185="","",COUNTIF(Posts!$B$2:$B$300,A185))</f>
        <v/>
      </c>
      <c r="L185" s="10" t="str">
        <f aca="false">IF(A185="","",SUMIF(Posts!$B$2:$B$300,A185,Posts!$F$2:$F$300))</f>
        <v/>
      </c>
      <c r="M185" s="11" t="str">
        <f aca="false">IF(A185="","",SUMIFS(Pagos!$D$2:$D$300,Pagos!$B$2:$B$300,A185,Pagos!$F$2:$F$300,"Pagado"))</f>
        <v/>
      </c>
      <c r="N185" s="11" t="str">
        <f aca="false">IF(A185="","",SUMIFS(Pagos!$D$2:$D$300,Pagos!$B$2:$B$300,A185,Pagos!$F$2:$F$300,"Pendiente"))</f>
        <v/>
      </c>
      <c r="O185" s="12" t="str">
        <f aca="false">IF(A185="","",IF(L185=0,"-",M185/L185*1000))</f>
        <v/>
      </c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0" t="str">
        <f aca="false">IF(A186="","",COUNTIF(Posts!$B$2:$B$300,A186))</f>
        <v/>
      </c>
      <c r="L186" s="10" t="str">
        <f aca="false">IF(A186="","",SUMIF(Posts!$B$2:$B$300,A186,Posts!$F$2:$F$300))</f>
        <v/>
      </c>
      <c r="M186" s="11" t="str">
        <f aca="false">IF(A186="","",SUMIFS(Pagos!$D$2:$D$300,Pagos!$B$2:$B$300,A186,Pagos!$F$2:$F$300,"Pagado"))</f>
        <v/>
      </c>
      <c r="N186" s="11" t="str">
        <f aca="false">IF(A186="","",SUMIFS(Pagos!$D$2:$D$300,Pagos!$B$2:$B$300,A186,Pagos!$F$2:$F$300,"Pendiente"))</f>
        <v/>
      </c>
      <c r="O186" s="12" t="str">
        <f aca="false">IF(A186="","",IF(L186=0,"-",M186/L186*1000))</f>
        <v/>
      </c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0" t="str">
        <f aca="false">IF(A187="","",COUNTIF(Posts!$B$2:$B$300,A187))</f>
        <v/>
      </c>
      <c r="L187" s="10" t="str">
        <f aca="false">IF(A187="","",SUMIF(Posts!$B$2:$B$300,A187,Posts!$F$2:$F$300))</f>
        <v/>
      </c>
      <c r="M187" s="11" t="str">
        <f aca="false">IF(A187="","",SUMIFS(Pagos!$D$2:$D$300,Pagos!$B$2:$B$300,A187,Pagos!$F$2:$F$300,"Pagado"))</f>
        <v/>
      </c>
      <c r="N187" s="11" t="str">
        <f aca="false">IF(A187="","",SUMIFS(Pagos!$D$2:$D$300,Pagos!$B$2:$B$300,A187,Pagos!$F$2:$F$300,"Pendiente"))</f>
        <v/>
      </c>
      <c r="O187" s="12" t="str">
        <f aca="false">IF(A187="","",IF(L187=0,"-",M187/L187*1000))</f>
        <v/>
      </c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0" t="str">
        <f aca="false">IF(A188="","",COUNTIF(Posts!$B$2:$B$300,A188))</f>
        <v/>
      </c>
      <c r="L188" s="10" t="str">
        <f aca="false">IF(A188="","",SUMIF(Posts!$B$2:$B$300,A188,Posts!$F$2:$F$300))</f>
        <v/>
      </c>
      <c r="M188" s="11" t="str">
        <f aca="false">IF(A188="","",SUMIFS(Pagos!$D$2:$D$300,Pagos!$B$2:$B$300,A188,Pagos!$F$2:$F$300,"Pagado"))</f>
        <v/>
      </c>
      <c r="N188" s="11" t="str">
        <f aca="false">IF(A188="","",SUMIFS(Pagos!$D$2:$D$300,Pagos!$B$2:$B$300,A188,Pagos!$F$2:$F$300,"Pendiente"))</f>
        <v/>
      </c>
      <c r="O188" s="12" t="str">
        <f aca="false">IF(A188="","",IF(L188=0,"-",M188/L188*1000))</f>
        <v/>
      </c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0" t="str">
        <f aca="false">IF(A189="","",COUNTIF(Posts!$B$2:$B$300,A189))</f>
        <v/>
      </c>
      <c r="L189" s="10" t="str">
        <f aca="false">IF(A189="","",SUMIF(Posts!$B$2:$B$300,A189,Posts!$F$2:$F$300))</f>
        <v/>
      </c>
      <c r="M189" s="11" t="str">
        <f aca="false">IF(A189="","",SUMIFS(Pagos!$D$2:$D$300,Pagos!$B$2:$B$300,A189,Pagos!$F$2:$F$300,"Pagado"))</f>
        <v/>
      </c>
      <c r="N189" s="11" t="str">
        <f aca="false">IF(A189="","",SUMIFS(Pagos!$D$2:$D$300,Pagos!$B$2:$B$300,A189,Pagos!$F$2:$F$300,"Pendiente"))</f>
        <v/>
      </c>
      <c r="O189" s="12" t="str">
        <f aca="false">IF(A189="","",IF(L189=0,"-",M189/L189*1000))</f>
        <v/>
      </c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0" t="str">
        <f aca="false">IF(A190="","",COUNTIF(Posts!$B$2:$B$300,A190))</f>
        <v/>
      </c>
      <c r="L190" s="10" t="str">
        <f aca="false">IF(A190="","",SUMIF(Posts!$B$2:$B$300,A190,Posts!$F$2:$F$300))</f>
        <v/>
      </c>
      <c r="M190" s="11" t="str">
        <f aca="false">IF(A190="","",SUMIFS(Pagos!$D$2:$D$300,Pagos!$B$2:$B$300,A190,Pagos!$F$2:$F$300,"Pagado"))</f>
        <v/>
      </c>
      <c r="N190" s="11" t="str">
        <f aca="false">IF(A190="","",SUMIFS(Pagos!$D$2:$D$300,Pagos!$B$2:$B$300,A190,Pagos!$F$2:$F$300,"Pendiente"))</f>
        <v/>
      </c>
      <c r="O190" s="12" t="str">
        <f aca="false">IF(A190="","",IF(L190=0,"-",M190/L190*1000))</f>
        <v/>
      </c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0" t="str">
        <f aca="false">IF(A191="","",COUNTIF(Posts!$B$2:$B$300,A191))</f>
        <v/>
      </c>
      <c r="L191" s="10" t="str">
        <f aca="false">IF(A191="","",SUMIF(Posts!$B$2:$B$300,A191,Posts!$F$2:$F$300))</f>
        <v/>
      </c>
      <c r="M191" s="11" t="str">
        <f aca="false">IF(A191="","",SUMIFS(Pagos!$D$2:$D$300,Pagos!$B$2:$B$300,A191,Pagos!$F$2:$F$300,"Pagado"))</f>
        <v/>
      </c>
      <c r="N191" s="11" t="str">
        <f aca="false">IF(A191="","",SUMIFS(Pagos!$D$2:$D$300,Pagos!$B$2:$B$300,A191,Pagos!$F$2:$F$300,"Pendiente"))</f>
        <v/>
      </c>
      <c r="O191" s="12" t="str">
        <f aca="false">IF(A191="","",IF(L191=0,"-",M191/L191*1000))</f>
        <v/>
      </c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0" t="str">
        <f aca="false">IF(A192="","",COUNTIF(Posts!$B$2:$B$300,A192))</f>
        <v/>
      </c>
      <c r="L192" s="10" t="str">
        <f aca="false">IF(A192="","",SUMIF(Posts!$B$2:$B$300,A192,Posts!$F$2:$F$300))</f>
        <v/>
      </c>
      <c r="M192" s="11" t="str">
        <f aca="false">IF(A192="","",SUMIFS(Pagos!$D$2:$D$300,Pagos!$B$2:$B$300,A192,Pagos!$F$2:$F$300,"Pagado"))</f>
        <v/>
      </c>
      <c r="N192" s="11" t="str">
        <f aca="false">IF(A192="","",SUMIFS(Pagos!$D$2:$D$300,Pagos!$B$2:$B$300,A192,Pagos!$F$2:$F$300,"Pendiente"))</f>
        <v/>
      </c>
      <c r="O192" s="12" t="str">
        <f aca="false">IF(A192="","",IF(L192=0,"-",M192/L192*1000))</f>
        <v/>
      </c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0" t="str">
        <f aca="false">IF(A193="","",COUNTIF(Posts!$B$2:$B$300,A193))</f>
        <v/>
      </c>
      <c r="L193" s="10" t="str">
        <f aca="false">IF(A193="","",SUMIF(Posts!$B$2:$B$300,A193,Posts!$F$2:$F$300))</f>
        <v/>
      </c>
      <c r="M193" s="11" t="str">
        <f aca="false">IF(A193="","",SUMIFS(Pagos!$D$2:$D$300,Pagos!$B$2:$B$300,A193,Pagos!$F$2:$F$300,"Pagado"))</f>
        <v/>
      </c>
      <c r="N193" s="11" t="str">
        <f aca="false">IF(A193="","",SUMIFS(Pagos!$D$2:$D$300,Pagos!$B$2:$B$300,A193,Pagos!$F$2:$F$300,"Pendiente"))</f>
        <v/>
      </c>
      <c r="O193" s="12" t="str">
        <f aca="false">IF(A193="","",IF(L193=0,"-",M193/L193*1000))</f>
        <v/>
      </c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0" t="str">
        <f aca="false">IF(A194="","",COUNTIF(Posts!$B$2:$B$300,A194))</f>
        <v/>
      </c>
      <c r="L194" s="10" t="str">
        <f aca="false">IF(A194="","",SUMIF(Posts!$B$2:$B$300,A194,Posts!$F$2:$F$300))</f>
        <v/>
      </c>
      <c r="M194" s="11" t="str">
        <f aca="false">IF(A194="","",SUMIFS(Pagos!$D$2:$D$300,Pagos!$B$2:$B$300,A194,Pagos!$F$2:$F$300,"Pagado"))</f>
        <v/>
      </c>
      <c r="N194" s="11" t="str">
        <f aca="false">IF(A194="","",SUMIFS(Pagos!$D$2:$D$300,Pagos!$B$2:$B$300,A194,Pagos!$F$2:$F$300,"Pendiente"))</f>
        <v/>
      </c>
      <c r="O194" s="12" t="str">
        <f aca="false">IF(A194="","",IF(L194=0,"-",M194/L194*1000))</f>
        <v/>
      </c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0" t="str">
        <f aca="false">IF(A195="","",COUNTIF(Posts!$B$2:$B$300,A195))</f>
        <v/>
      </c>
      <c r="L195" s="10" t="str">
        <f aca="false">IF(A195="","",SUMIF(Posts!$B$2:$B$300,A195,Posts!$F$2:$F$300))</f>
        <v/>
      </c>
      <c r="M195" s="11" t="str">
        <f aca="false">IF(A195="","",SUMIFS(Pagos!$D$2:$D$300,Pagos!$B$2:$B$300,A195,Pagos!$F$2:$F$300,"Pagado"))</f>
        <v/>
      </c>
      <c r="N195" s="11" t="str">
        <f aca="false">IF(A195="","",SUMIFS(Pagos!$D$2:$D$300,Pagos!$B$2:$B$300,A195,Pagos!$F$2:$F$300,"Pendiente"))</f>
        <v/>
      </c>
      <c r="O195" s="12" t="str">
        <f aca="false">IF(A195="","",IF(L195=0,"-",M195/L195*1000))</f>
        <v/>
      </c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0" t="str">
        <f aca="false">IF(A196="","",COUNTIF(Posts!$B$2:$B$300,A196))</f>
        <v/>
      </c>
      <c r="L196" s="10" t="str">
        <f aca="false">IF(A196="","",SUMIF(Posts!$B$2:$B$300,A196,Posts!$F$2:$F$300))</f>
        <v/>
      </c>
      <c r="M196" s="11" t="str">
        <f aca="false">IF(A196="","",SUMIFS(Pagos!$D$2:$D$300,Pagos!$B$2:$B$300,A196,Pagos!$F$2:$F$300,"Pagado"))</f>
        <v/>
      </c>
      <c r="N196" s="11" t="str">
        <f aca="false">IF(A196="","",SUMIFS(Pagos!$D$2:$D$300,Pagos!$B$2:$B$300,A196,Pagos!$F$2:$F$300,"Pendiente"))</f>
        <v/>
      </c>
      <c r="O196" s="12" t="str">
        <f aca="false">IF(A196="","",IF(L196=0,"-",M196/L196*1000))</f>
        <v/>
      </c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0" t="str">
        <f aca="false">IF(A197="","",COUNTIF(Posts!$B$2:$B$300,A197))</f>
        <v/>
      </c>
      <c r="L197" s="10" t="str">
        <f aca="false">IF(A197="","",SUMIF(Posts!$B$2:$B$300,A197,Posts!$F$2:$F$300))</f>
        <v/>
      </c>
      <c r="M197" s="11" t="str">
        <f aca="false">IF(A197="","",SUMIFS(Pagos!$D$2:$D$300,Pagos!$B$2:$B$300,A197,Pagos!$F$2:$F$300,"Pagado"))</f>
        <v/>
      </c>
      <c r="N197" s="11" t="str">
        <f aca="false">IF(A197="","",SUMIFS(Pagos!$D$2:$D$300,Pagos!$B$2:$B$300,A197,Pagos!$F$2:$F$300,"Pendiente"))</f>
        <v/>
      </c>
      <c r="O197" s="12" t="str">
        <f aca="false">IF(A197="","",IF(L197=0,"-",M197/L197*1000))</f>
        <v/>
      </c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0" t="str">
        <f aca="false">IF(A198="","",COUNTIF(Posts!$B$2:$B$300,A198))</f>
        <v/>
      </c>
      <c r="L198" s="10" t="str">
        <f aca="false">IF(A198="","",SUMIF(Posts!$B$2:$B$300,A198,Posts!$F$2:$F$300))</f>
        <v/>
      </c>
      <c r="M198" s="11" t="str">
        <f aca="false">IF(A198="","",SUMIFS(Pagos!$D$2:$D$300,Pagos!$B$2:$B$300,A198,Pagos!$F$2:$F$300,"Pagado"))</f>
        <v/>
      </c>
      <c r="N198" s="11" t="str">
        <f aca="false">IF(A198="","",SUMIFS(Pagos!$D$2:$D$300,Pagos!$B$2:$B$300,A198,Pagos!$F$2:$F$300,"Pendiente"))</f>
        <v/>
      </c>
      <c r="O198" s="12" t="str">
        <f aca="false">IF(A198="","",IF(L198=0,"-",M198/L198*1000))</f>
        <v/>
      </c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0" t="str">
        <f aca="false">IF(A199="","",COUNTIF(Posts!$B$2:$B$300,A199))</f>
        <v/>
      </c>
      <c r="L199" s="10" t="str">
        <f aca="false">IF(A199="","",SUMIF(Posts!$B$2:$B$300,A199,Posts!$F$2:$F$300))</f>
        <v/>
      </c>
      <c r="M199" s="11" t="str">
        <f aca="false">IF(A199="","",SUMIFS(Pagos!$D$2:$D$300,Pagos!$B$2:$B$300,A199,Pagos!$F$2:$F$300,"Pagado"))</f>
        <v/>
      </c>
      <c r="N199" s="11" t="str">
        <f aca="false">IF(A199="","",SUMIFS(Pagos!$D$2:$D$300,Pagos!$B$2:$B$300,A199,Pagos!$F$2:$F$300,"Pendiente"))</f>
        <v/>
      </c>
      <c r="O199" s="12" t="str">
        <f aca="false">IF(A199="","",IF(L199=0,"-",M199/L199*1000))</f>
        <v/>
      </c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0" t="str">
        <f aca="false">IF(A200="","",COUNTIF(Posts!$B$2:$B$300,A200))</f>
        <v/>
      </c>
      <c r="L200" s="10" t="str">
        <f aca="false">IF(A200="","",SUMIF(Posts!$B$2:$B$300,A200,Posts!$F$2:$F$300))</f>
        <v/>
      </c>
      <c r="M200" s="11" t="str">
        <f aca="false">IF(A200="","",SUMIFS(Pagos!$D$2:$D$300,Pagos!$B$2:$B$300,A200,Pagos!$F$2:$F$300,"Pagado"))</f>
        <v/>
      </c>
      <c r="N200" s="11" t="str">
        <f aca="false">IF(A200="","",SUMIFS(Pagos!$D$2:$D$300,Pagos!$B$2:$B$300,A200,Pagos!$F$2:$F$300,"Pendiente"))</f>
        <v/>
      </c>
      <c r="O200" s="12" t="str">
        <f aca="false">IF(A200="","",IF(L200=0,"-",M200/L200*1000))</f>
        <v/>
      </c>
    </row>
    <row r="201" customFormat="false" ht="15" hidden="false" customHeight="fals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0" t="str">
        <f aca="false">IF(A201="","",COUNTIF(Posts!$B$2:$B$300,A201))</f>
        <v/>
      </c>
      <c r="L201" s="10" t="str">
        <f aca="false">IF(A201="","",SUMIF(Posts!$B$2:$B$300,A201,Posts!$F$2:$F$300))</f>
        <v/>
      </c>
      <c r="M201" s="11" t="str">
        <f aca="false">IF(A201="","",SUMIFS(Pagos!$D$2:$D$300,Pagos!$B$2:$B$300,A201,Pagos!$F$2:$F$300,"Pagado"))</f>
        <v/>
      </c>
      <c r="N201" s="11" t="str">
        <f aca="false">IF(A201="","",SUMIFS(Pagos!$D$2:$D$300,Pagos!$B$2:$B$300,A201,Pagos!$F$2:$F$300,"Pendiente"))</f>
        <v/>
      </c>
      <c r="O201" s="12" t="str">
        <f aca="false">IF(A201="","",IF(L201=0,"-",M201/L201*1000))</f>
        <v/>
      </c>
    </row>
    <row r="202" customFormat="false" ht="15" hidden="false" customHeight="fals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0" t="str">
        <f aca="false">IF(A202="","",COUNTIF(Posts!$B$2:$B$300,A202))</f>
        <v/>
      </c>
      <c r="L202" s="10" t="str">
        <f aca="false">IF(A202="","",SUMIF(Posts!$B$2:$B$300,A202,Posts!$F$2:$F$300))</f>
        <v/>
      </c>
      <c r="M202" s="11" t="str">
        <f aca="false">IF(A202="","",SUMIFS(Pagos!$D$2:$D$300,Pagos!$B$2:$B$300,A202,Pagos!$F$2:$F$300,"Pagado"))</f>
        <v/>
      </c>
      <c r="N202" s="11" t="str">
        <f aca="false">IF(A202="","",SUMIFS(Pagos!$D$2:$D$300,Pagos!$B$2:$B$300,A202,Pagos!$F$2:$F$300,"Pendiente"))</f>
        <v/>
      </c>
      <c r="O202" s="12" t="str">
        <f aca="false">IF(A202="","",IF(L202=0,"-",M202/L202*1000))</f>
        <v/>
      </c>
    </row>
    <row r="203" customFormat="false" ht="15" hidden="false" customHeight="fals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0" t="str">
        <f aca="false">IF(A203="","",COUNTIF(Posts!$B$2:$B$300,A203))</f>
        <v/>
      </c>
      <c r="L203" s="10" t="str">
        <f aca="false">IF(A203="","",SUMIF(Posts!$B$2:$B$300,A203,Posts!$F$2:$F$300))</f>
        <v/>
      </c>
      <c r="M203" s="11" t="str">
        <f aca="false">IF(A203="","",SUMIFS(Pagos!$D$2:$D$300,Pagos!$B$2:$B$300,A203,Pagos!$F$2:$F$300,"Pagado"))</f>
        <v/>
      </c>
      <c r="N203" s="11" t="str">
        <f aca="false">IF(A203="","",SUMIFS(Pagos!$D$2:$D$300,Pagos!$B$2:$B$300,A203,Pagos!$F$2:$F$300,"Pendiente"))</f>
        <v/>
      </c>
      <c r="O203" s="12" t="str">
        <f aca="false">IF(A203="","",IF(L203=0,"-",M203/L203*1000))</f>
        <v/>
      </c>
    </row>
    <row r="204" customFormat="false" ht="15" hidden="false" customHeight="fals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0" t="str">
        <f aca="false">IF(A204="","",COUNTIF(Posts!$B$2:$B$300,A204))</f>
        <v/>
      </c>
      <c r="L204" s="10" t="str">
        <f aca="false">IF(A204="","",SUMIF(Posts!$B$2:$B$300,A204,Posts!$F$2:$F$300))</f>
        <v/>
      </c>
      <c r="M204" s="11" t="str">
        <f aca="false">IF(A204="","",SUMIFS(Pagos!$D$2:$D$300,Pagos!$B$2:$B$300,A204,Pagos!$F$2:$F$300,"Pagado"))</f>
        <v/>
      </c>
      <c r="N204" s="11" t="str">
        <f aca="false">IF(A204="","",SUMIFS(Pagos!$D$2:$D$300,Pagos!$B$2:$B$300,A204,Pagos!$F$2:$F$300,"Pendiente"))</f>
        <v/>
      </c>
      <c r="O204" s="12" t="str">
        <f aca="false">IF(A204="","",IF(L204=0,"-",M204/L204*1000))</f>
        <v/>
      </c>
    </row>
    <row r="205" customFormat="false" ht="15" hidden="false" customHeight="fals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0" t="str">
        <f aca="false">IF(A205="","",COUNTIF(Posts!$B$2:$B$300,A205))</f>
        <v/>
      </c>
      <c r="L205" s="10" t="str">
        <f aca="false">IF(A205="","",SUMIF(Posts!$B$2:$B$300,A205,Posts!$F$2:$F$300))</f>
        <v/>
      </c>
      <c r="M205" s="11" t="str">
        <f aca="false">IF(A205="","",SUMIFS(Pagos!$D$2:$D$300,Pagos!$B$2:$B$300,A205,Pagos!$F$2:$F$300,"Pagado"))</f>
        <v/>
      </c>
      <c r="N205" s="11" t="str">
        <f aca="false">IF(A205="","",SUMIFS(Pagos!$D$2:$D$300,Pagos!$B$2:$B$300,A205,Pagos!$F$2:$F$300,"Pendiente"))</f>
        <v/>
      </c>
      <c r="O205" s="12" t="str">
        <f aca="false">IF(A205="","",IF(L205=0,"-",M205/L205*1000))</f>
        <v/>
      </c>
    </row>
    <row r="206" customFormat="false" ht="15" hidden="false" customHeight="fals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0" t="str">
        <f aca="false">IF(A206="","",COUNTIF(Posts!$B$2:$B$300,A206))</f>
        <v/>
      </c>
      <c r="L206" s="10" t="str">
        <f aca="false">IF(A206="","",SUMIF(Posts!$B$2:$B$300,A206,Posts!$F$2:$F$300))</f>
        <v/>
      </c>
      <c r="M206" s="11" t="str">
        <f aca="false">IF(A206="","",SUMIFS(Pagos!$D$2:$D$300,Pagos!$B$2:$B$300,A206,Pagos!$F$2:$F$300,"Pagado"))</f>
        <v/>
      </c>
      <c r="N206" s="11" t="str">
        <f aca="false">IF(A206="","",SUMIFS(Pagos!$D$2:$D$300,Pagos!$B$2:$B$300,A206,Pagos!$F$2:$F$300,"Pendiente"))</f>
        <v/>
      </c>
      <c r="O206" s="12" t="str">
        <f aca="false">IF(A206="","",IF(L206=0,"-",M206/L206*1000))</f>
        <v/>
      </c>
    </row>
    <row r="207" customFormat="false" ht="15" hidden="false" customHeight="fals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0" t="str">
        <f aca="false">IF(A207="","",COUNTIF(Posts!$B$2:$B$300,A207))</f>
        <v/>
      </c>
      <c r="L207" s="10" t="str">
        <f aca="false">IF(A207="","",SUMIF(Posts!$B$2:$B$300,A207,Posts!$F$2:$F$300))</f>
        <v/>
      </c>
      <c r="M207" s="11" t="str">
        <f aca="false">IF(A207="","",SUMIFS(Pagos!$D$2:$D$300,Pagos!$B$2:$B$300,A207,Pagos!$F$2:$F$300,"Pagado"))</f>
        <v/>
      </c>
      <c r="N207" s="11" t="str">
        <f aca="false">IF(A207="","",SUMIFS(Pagos!$D$2:$D$300,Pagos!$B$2:$B$300,A207,Pagos!$F$2:$F$300,"Pendiente"))</f>
        <v/>
      </c>
      <c r="O207" s="12" t="str">
        <f aca="false">IF(A207="","",IF(L207=0,"-",M207/L207*1000))</f>
        <v/>
      </c>
    </row>
    <row r="208" customFormat="false" ht="15" hidden="false" customHeight="fals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0" t="str">
        <f aca="false">IF(A208="","",COUNTIF(Posts!$B$2:$B$300,A208))</f>
        <v/>
      </c>
      <c r="L208" s="10" t="str">
        <f aca="false">IF(A208="","",SUMIF(Posts!$B$2:$B$300,A208,Posts!$F$2:$F$300))</f>
        <v/>
      </c>
      <c r="M208" s="11" t="str">
        <f aca="false">IF(A208="","",SUMIFS(Pagos!$D$2:$D$300,Pagos!$B$2:$B$300,A208,Pagos!$F$2:$F$300,"Pagado"))</f>
        <v/>
      </c>
      <c r="N208" s="11" t="str">
        <f aca="false">IF(A208="","",SUMIFS(Pagos!$D$2:$D$300,Pagos!$B$2:$B$300,A208,Pagos!$F$2:$F$300,"Pendiente"))</f>
        <v/>
      </c>
      <c r="O208" s="12" t="str">
        <f aca="false">IF(A208="","",IF(L208=0,"-",M208/L208*1000))</f>
        <v/>
      </c>
    </row>
    <row r="209" customFormat="false" ht="15" hidden="false" customHeight="fals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0" t="str">
        <f aca="false">IF(A209="","",COUNTIF(Posts!$B$2:$B$300,A209))</f>
        <v/>
      </c>
      <c r="L209" s="10" t="str">
        <f aca="false">IF(A209="","",SUMIF(Posts!$B$2:$B$300,A209,Posts!$F$2:$F$300))</f>
        <v/>
      </c>
      <c r="M209" s="11" t="str">
        <f aca="false">IF(A209="","",SUMIFS(Pagos!$D$2:$D$300,Pagos!$B$2:$B$300,A209,Pagos!$F$2:$F$300,"Pagado"))</f>
        <v/>
      </c>
      <c r="N209" s="11" t="str">
        <f aca="false">IF(A209="","",SUMIFS(Pagos!$D$2:$D$300,Pagos!$B$2:$B$300,A209,Pagos!$F$2:$F$300,"Pendiente"))</f>
        <v/>
      </c>
      <c r="O209" s="12" t="str">
        <f aca="false">IF(A209="","",IF(L209=0,"-",M209/L209*1000))</f>
        <v/>
      </c>
    </row>
    <row r="210" customFormat="false" ht="15" hidden="false" customHeight="fals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0" t="str">
        <f aca="false">IF(A210="","",COUNTIF(Posts!$B$2:$B$300,A210))</f>
        <v/>
      </c>
      <c r="L210" s="10" t="str">
        <f aca="false">IF(A210="","",SUMIF(Posts!$B$2:$B$300,A210,Posts!$F$2:$F$300))</f>
        <v/>
      </c>
      <c r="M210" s="11" t="str">
        <f aca="false">IF(A210="","",SUMIFS(Pagos!$D$2:$D$300,Pagos!$B$2:$B$300,A210,Pagos!$F$2:$F$300,"Pagado"))</f>
        <v/>
      </c>
      <c r="N210" s="11" t="str">
        <f aca="false">IF(A210="","",SUMIFS(Pagos!$D$2:$D$300,Pagos!$B$2:$B$300,A210,Pagos!$F$2:$F$300,"Pendiente"))</f>
        <v/>
      </c>
      <c r="O210" s="12" t="str">
        <f aca="false">IF(A210="","",IF(L210=0,"-",M210/L210*1000))</f>
        <v/>
      </c>
    </row>
    <row r="211" customFormat="false" ht="15" hidden="false" customHeight="fals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0" t="str">
        <f aca="false">IF(A211="","",COUNTIF(Posts!$B$2:$B$300,A211))</f>
        <v/>
      </c>
      <c r="L211" s="10" t="str">
        <f aca="false">IF(A211="","",SUMIF(Posts!$B$2:$B$300,A211,Posts!$F$2:$F$300))</f>
        <v/>
      </c>
      <c r="M211" s="11" t="str">
        <f aca="false">IF(A211="","",SUMIFS(Pagos!$D$2:$D$300,Pagos!$B$2:$B$300,A211,Pagos!$F$2:$F$300,"Pagado"))</f>
        <v/>
      </c>
      <c r="N211" s="11" t="str">
        <f aca="false">IF(A211="","",SUMIFS(Pagos!$D$2:$D$300,Pagos!$B$2:$B$300,A211,Pagos!$F$2:$F$300,"Pendiente"))</f>
        <v/>
      </c>
      <c r="O211" s="12" t="str">
        <f aca="false">IF(A211="","",IF(L211=0,"-",M211/L211*1000))</f>
        <v/>
      </c>
    </row>
    <row r="212" customFormat="false" ht="15" hidden="false" customHeight="fals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0" t="str">
        <f aca="false">IF(A212="","",COUNTIF(Posts!$B$2:$B$300,A212))</f>
        <v/>
      </c>
      <c r="L212" s="10" t="str">
        <f aca="false">IF(A212="","",SUMIF(Posts!$B$2:$B$300,A212,Posts!$F$2:$F$300))</f>
        <v/>
      </c>
      <c r="M212" s="11" t="str">
        <f aca="false">IF(A212="","",SUMIFS(Pagos!$D$2:$D$300,Pagos!$B$2:$B$300,A212,Pagos!$F$2:$F$300,"Pagado"))</f>
        <v/>
      </c>
      <c r="N212" s="11" t="str">
        <f aca="false">IF(A212="","",SUMIFS(Pagos!$D$2:$D$300,Pagos!$B$2:$B$300,A212,Pagos!$F$2:$F$300,"Pendiente"))</f>
        <v/>
      </c>
      <c r="O212" s="12" t="str">
        <f aca="false">IF(A212="","",IF(L212=0,"-",M212/L212*1000))</f>
        <v/>
      </c>
    </row>
    <row r="213" customFormat="false" ht="15" hidden="false" customHeight="fals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0" t="str">
        <f aca="false">IF(A213="","",COUNTIF(Posts!$B$2:$B$300,A213))</f>
        <v/>
      </c>
      <c r="L213" s="10" t="str">
        <f aca="false">IF(A213="","",SUMIF(Posts!$B$2:$B$300,A213,Posts!$F$2:$F$300))</f>
        <v/>
      </c>
      <c r="M213" s="11" t="str">
        <f aca="false">IF(A213="","",SUMIFS(Pagos!$D$2:$D$300,Pagos!$B$2:$B$300,A213,Pagos!$F$2:$F$300,"Pagado"))</f>
        <v/>
      </c>
      <c r="N213" s="11" t="str">
        <f aca="false">IF(A213="","",SUMIFS(Pagos!$D$2:$D$300,Pagos!$B$2:$B$300,A213,Pagos!$F$2:$F$300,"Pendiente"))</f>
        <v/>
      </c>
      <c r="O213" s="12" t="str">
        <f aca="false">IF(A213="","",IF(L213=0,"-",M213/L213*1000))</f>
        <v/>
      </c>
    </row>
    <row r="214" customFormat="false" ht="15" hidden="false" customHeight="fals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0" t="str">
        <f aca="false">IF(A214="","",COUNTIF(Posts!$B$2:$B$300,A214))</f>
        <v/>
      </c>
      <c r="L214" s="10" t="str">
        <f aca="false">IF(A214="","",SUMIF(Posts!$B$2:$B$300,A214,Posts!$F$2:$F$300))</f>
        <v/>
      </c>
      <c r="M214" s="11" t="str">
        <f aca="false">IF(A214="","",SUMIFS(Pagos!$D$2:$D$300,Pagos!$B$2:$B$300,A214,Pagos!$F$2:$F$300,"Pagado"))</f>
        <v/>
      </c>
      <c r="N214" s="11" t="str">
        <f aca="false">IF(A214="","",SUMIFS(Pagos!$D$2:$D$300,Pagos!$B$2:$B$300,A214,Pagos!$F$2:$F$300,"Pendiente"))</f>
        <v/>
      </c>
      <c r="O214" s="12" t="str">
        <f aca="false">IF(A214="","",IF(L214=0,"-",M214/L214*1000))</f>
        <v/>
      </c>
    </row>
    <row r="215" customFormat="false" ht="15" hidden="false" customHeight="fals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0" t="str">
        <f aca="false">IF(A215="","",COUNTIF(Posts!$B$2:$B$300,A215))</f>
        <v/>
      </c>
      <c r="L215" s="10" t="str">
        <f aca="false">IF(A215="","",SUMIF(Posts!$B$2:$B$300,A215,Posts!$F$2:$F$300))</f>
        <v/>
      </c>
      <c r="M215" s="11" t="str">
        <f aca="false">IF(A215="","",SUMIFS(Pagos!$D$2:$D$300,Pagos!$B$2:$B$300,A215,Pagos!$F$2:$F$300,"Pagado"))</f>
        <v/>
      </c>
      <c r="N215" s="11" t="str">
        <f aca="false">IF(A215="","",SUMIFS(Pagos!$D$2:$D$300,Pagos!$B$2:$B$300,A215,Pagos!$F$2:$F$300,"Pendiente"))</f>
        <v/>
      </c>
      <c r="O215" s="12" t="str">
        <f aca="false">IF(A215="","",IF(L215=0,"-",M215/L215*1000))</f>
        <v/>
      </c>
    </row>
    <row r="216" customFormat="false" ht="15" hidden="false" customHeight="fals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0" t="str">
        <f aca="false">IF(A216="","",COUNTIF(Posts!$B$2:$B$300,A216))</f>
        <v/>
      </c>
      <c r="L216" s="10" t="str">
        <f aca="false">IF(A216="","",SUMIF(Posts!$B$2:$B$300,A216,Posts!$F$2:$F$300))</f>
        <v/>
      </c>
      <c r="M216" s="11" t="str">
        <f aca="false">IF(A216="","",SUMIFS(Pagos!$D$2:$D$300,Pagos!$B$2:$B$300,A216,Pagos!$F$2:$F$300,"Pagado"))</f>
        <v/>
      </c>
      <c r="N216" s="11" t="str">
        <f aca="false">IF(A216="","",SUMIFS(Pagos!$D$2:$D$300,Pagos!$B$2:$B$300,A216,Pagos!$F$2:$F$300,"Pendiente"))</f>
        <v/>
      </c>
      <c r="O216" s="12" t="str">
        <f aca="false">IF(A216="","",IF(L216=0,"-",M216/L216*1000))</f>
        <v/>
      </c>
    </row>
    <row r="217" customFormat="false" ht="15" hidden="false" customHeight="fals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0" t="str">
        <f aca="false">IF(A217="","",COUNTIF(Posts!$B$2:$B$300,A217))</f>
        <v/>
      </c>
      <c r="L217" s="10" t="str">
        <f aca="false">IF(A217="","",SUMIF(Posts!$B$2:$B$300,A217,Posts!$F$2:$F$300))</f>
        <v/>
      </c>
      <c r="M217" s="11" t="str">
        <f aca="false">IF(A217="","",SUMIFS(Pagos!$D$2:$D$300,Pagos!$B$2:$B$300,A217,Pagos!$F$2:$F$300,"Pagado"))</f>
        <v/>
      </c>
      <c r="N217" s="11" t="str">
        <f aca="false">IF(A217="","",SUMIFS(Pagos!$D$2:$D$300,Pagos!$B$2:$B$300,A217,Pagos!$F$2:$F$300,"Pendiente"))</f>
        <v/>
      </c>
      <c r="O217" s="12" t="str">
        <f aca="false">IF(A217="","",IF(L217=0,"-",M217/L217*1000))</f>
        <v/>
      </c>
    </row>
    <row r="218" customFormat="false" ht="15" hidden="false" customHeight="fals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0" t="str">
        <f aca="false">IF(A218="","",COUNTIF(Posts!$B$2:$B$300,A218))</f>
        <v/>
      </c>
      <c r="L218" s="10" t="str">
        <f aca="false">IF(A218="","",SUMIF(Posts!$B$2:$B$300,A218,Posts!$F$2:$F$300))</f>
        <v/>
      </c>
      <c r="M218" s="11" t="str">
        <f aca="false">IF(A218="","",SUMIFS(Pagos!$D$2:$D$300,Pagos!$B$2:$B$300,A218,Pagos!$F$2:$F$300,"Pagado"))</f>
        <v/>
      </c>
      <c r="N218" s="11" t="str">
        <f aca="false">IF(A218="","",SUMIFS(Pagos!$D$2:$D$300,Pagos!$B$2:$B$300,A218,Pagos!$F$2:$F$300,"Pendiente"))</f>
        <v/>
      </c>
      <c r="O218" s="12" t="str">
        <f aca="false">IF(A218="","",IF(L218=0,"-",M218/L218*1000))</f>
        <v/>
      </c>
    </row>
    <row r="219" customFormat="false" ht="15" hidden="false" customHeight="fals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0" t="str">
        <f aca="false">IF(A219="","",COUNTIF(Posts!$B$2:$B$300,A219))</f>
        <v/>
      </c>
      <c r="L219" s="10" t="str">
        <f aca="false">IF(A219="","",SUMIF(Posts!$B$2:$B$300,A219,Posts!$F$2:$F$300))</f>
        <v/>
      </c>
      <c r="M219" s="11" t="str">
        <f aca="false">IF(A219="","",SUMIFS(Pagos!$D$2:$D$300,Pagos!$B$2:$B$300,A219,Pagos!$F$2:$F$300,"Pagado"))</f>
        <v/>
      </c>
      <c r="N219" s="11" t="str">
        <f aca="false">IF(A219="","",SUMIFS(Pagos!$D$2:$D$300,Pagos!$B$2:$B$300,A219,Pagos!$F$2:$F$300,"Pendiente"))</f>
        <v/>
      </c>
      <c r="O219" s="12" t="str">
        <f aca="false">IF(A219="","",IF(L219=0,"-",M219/L219*1000))</f>
        <v/>
      </c>
    </row>
    <row r="220" customFormat="false" ht="15" hidden="false" customHeight="fals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0" t="str">
        <f aca="false">IF(A220="","",COUNTIF(Posts!$B$2:$B$300,A220))</f>
        <v/>
      </c>
      <c r="L220" s="10" t="str">
        <f aca="false">IF(A220="","",SUMIF(Posts!$B$2:$B$300,A220,Posts!$F$2:$F$300))</f>
        <v/>
      </c>
      <c r="M220" s="11" t="str">
        <f aca="false">IF(A220="","",SUMIFS(Pagos!$D$2:$D$300,Pagos!$B$2:$B$300,A220,Pagos!$F$2:$F$300,"Pagado"))</f>
        <v/>
      </c>
      <c r="N220" s="11" t="str">
        <f aca="false">IF(A220="","",SUMIFS(Pagos!$D$2:$D$300,Pagos!$B$2:$B$300,A220,Pagos!$F$2:$F$300,"Pendiente"))</f>
        <v/>
      </c>
      <c r="O220" s="12" t="str">
        <f aca="false">IF(A220="","",IF(L220=0,"-",M220/L220*1000))</f>
        <v/>
      </c>
    </row>
    <row r="221" customFormat="false" ht="15" hidden="false" customHeight="fals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0" t="str">
        <f aca="false">IF(A221="","",COUNTIF(Posts!$B$2:$B$300,A221))</f>
        <v/>
      </c>
      <c r="L221" s="10" t="str">
        <f aca="false">IF(A221="","",SUMIF(Posts!$B$2:$B$300,A221,Posts!$F$2:$F$300))</f>
        <v/>
      </c>
      <c r="M221" s="11" t="str">
        <f aca="false">IF(A221="","",SUMIFS(Pagos!$D$2:$D$300,Pagos!$B$2:$B$300,A221,Pagos!$F$2:$F$300,"Pagado"))</f>
        <v/>
      </c>
      <c r="N221" s="11" t="str">
        <f aca="false">IF(A221="","",SUMIFS(Pagos!$D$2:$D$300,Pagos!$B$2:$B$300,A221,Pagos!$F$2:$F$300,"Pendiente"))</f>
        <v/>
      </c>
      <c r="O221" s="12" t="str">
        <f aca="false">IF(A221="","",IF(L221=0,"-",M221/L221*1000))</f>
        <v/>
      </c>
    </row>
    <row r="222" customFormat="false" ht="15" hidden="false" customHeight="fals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0" t="str">
        <f aca="false">IF(A222="","",COUNTIF(Posts!$B$2:$B$300,A222))</f>
        <v/>
      </c>
      <c r="L222" s="10" t="str">
        <f aca="false">IF(A222="","",SUMIF(Posts!$B$2:$B$300,A222,Posts!$F$2:$F$300))</f>
        <v/>
      </c>
      <c r="M222" s="11" t="str">
        <f aca="false">IF(A222="","",SUMIFS(Pagos!$D$2:$D$300,Pagos!$B$2:$B$300,A222,Pagos!$F$2:$F$300,"Pagado"))</f>
        <v/>
      </c>
      <c r="N222" s="11" t="str">
        <f aca="false">IF(A222="","",SUMIFS(Pagos!$D$2:$D$300,Pagos!$B$2:$B$300,A222,Pagos!$F$2:$F$300,"Pendiente"))</f>
        <v/>
      </c>
      <c r="O222" s="12" t="str">
        <f aca="false">IF(A222="","",IF(L222=0,"-",M222/L222*1000))</f>
        <v/>
      </c>
    </row>
    <row r="223" customFormat="false" ht="15" hidden="false" customHeight="fals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0" t="str">
        <f aca="false">IF(A223="","",COUNTIF(Posts!$B$2:$B$300,A223))</f>
        <v/>
      </c>
      <c r="L223" s="10" t="str">
        <f aca="false">IF(A223="","",SUMIF(Posts!$B$2:$B$300,A223,Posts!$F$2:$F$300))</f>
        <v/>
      </c>
      <c r="M223" s="11" t="str">
        <f aca="false">IF(A223="","",SUMIFS(Pagos!$D$2:$D$300,Pagos!$B$2:$B$300,A223,Pagos!$F$2:$F$300,"Pagado"))</f>
        <v/>
      </c>
      <c r="N223" s="11" t="str">
        <f aca="false">IF(A223="","",SUMIFS(Pagos!$D$2:$D$300,Pagos!$B$2:$B$300,A223,Pagos!$F$2:$F$300,"Pendiente"))</f>
        <v/>
      </c>
      <c r="O223" s="12" t="str">
        <f aca="false">IF(A223="","",IF(L223=0,"-",M223/L223*1000))</f>
        <v/>
      </c>
    </row>
    <row r="224" customFormat="false" ht="15" hidden="false" customHeight="fals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0" t="str">
        <f aca="false">IF(A224="","",COUNTIF(Posts!$B$2:$B$300,A224))</f>
        <v/>
      </c>
      <c r="L224" s="10" t="str">
        <f aca="false">IF(A224="","",SUMIF(Posts!$B$2:$B$300,A224,Posts!$F$2:$F$300))</f>
        <v/>
      </c>
      <c r="M224" s="11" t="str">
        <f aca="false">IF(A224="","",SUMIFS(Pagos!$D$2:$D$300,Pagos!$B$2:$B$300,A224,Pagos!$F$2:$F$300,"Pagado"))</f>
        <v/>
      </c>
      <c r="N224" s="11" t="str">
        <f aca="false">IF(A224="","",SUMIFS(Pagos!$D$2:$D$300,Pagos!$B$2:$B$300,A224,Pagos!$F$2:$F$300,"Pendiente"))</f>
        <v/>
      </c>
      <c r="O224" s="12" t="str">
        <f aca="false">IF(A224="","",IF(L224=0,"-",M224/L224*1000))</f>
        <v/>
      </c>
    </row>
    <row r="225" customFormat="false" ht="15" hidden="false" customHeight="fals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0" t="str">
        <f aca="false">IF(A225="","",COUNTIF(Posts!$B$2:$B$300,A225))</f>
        <v/>
      </c>
      <c r="L225" s="10" t="str">
        <f aca="false">IF(A225="","",SUMIF(Posts!$B$2:$B$300,A225,Posts!$F$2:$F$300))</f>
        <v/>
      </c>
      <c r="M225" s="11" t="str">
        <f aca="false">IF(A225="","",SUMIFS(Pagos!$D$2:$D$300,Pagos!$B$2:$B$300,A225,Pagos!$F$2:$F$300,"Pagado"))</f>
        <v/>
      </c>
      <c r="N225" s="11" t="str">
        <f aca="false">IF(A225="","",SUMIFS(Pagos!$D$2:$D$300,Pagos!$B$2:$B$300,A225,Pagos!$F$2:$F$300,"Pendiente"))</f>
        <v/>
      </c>
      <c r="O225" s="12" t="str">
        <f aca="false">IF(A225="","",IF(L225=0,"-",M225/L225*1000))</f>
        <v/>
      </c>
    </row>
    <row r="226" customFormat="false" ht="15" hidden="false" customHeight="fals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0" t="str">
        <f aca="false">IF(A226="","",COUNTIF(Posts!$B$2:$B$300,A226))</f>
        <v/>
      </c>
      <c r="L226" s="10" t="str">
        <f aca="false">IF(A226="","",SUMIF(Posts!$B$2:$B$300,A226,Posts!$F$2:$F$300))</f>
        <v/>
      </c>
      <c r="M226" s="11" t="str">
        <f aca="false">IF(A226="","",SUMIFS(Pagos!$D$2:$D$300,Pagos!$B$2:$B$300,A226,Pagos!$F$2:$F$300,"Pagado"))</f>
        <v/>
      </c>
      <c r="N226" s="11" t="str">
        <f aca="false">IF(A226="","",SUMIFS(Pagos!$D$2:$D$300,Pagos!$B$2:$B$300,A226,Pagos!$F$2:$F$300,"Pendiente"))</f>
        <v/>
      </c>
      <c r="O226" s="12" t="str">
        <f aca="false">IF(A226="","",IF(L226=0,"-",M226/L226*1000))</f>
        <v/>
      </c>
    </row>
    <row r="227" customFormat="false" ht="15" hidden="false" customHeight="fals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0" t="str">
        <f aca="false">IF(A227="","",COUNTIF(Posts!$B$2:$B$300,A227))</f>
        <v/>
      </c>
      <c r="L227" s="10" t="str">
        <f aca="false">IF(A227="","",SUMIF(Posts!$B$2:$B$300,A227,Posts!$F$2:$F$300))</f>
        <v/>
      </c>
      <c r="M227" s="11" t="str">
        <f aca="false">IF(A227="","",SUMIFS(Pagos!$D$2:$D$300,Pagos!$B$2:$B$300,A227,Pagos!$F$2:$F$300,"Pagado"))</f>
        <v/>
      </c>
      <c r="N227" s="11" t="str">
        <f aca="false">IF(A227="","",SUMIFS(Pagos!$D$2:$D$300,Pagos!$B$2:$B$300,A227,Pagos!$F$2:$F$300,"Pendiente"))</f>
        <v/>
      </c>
      <c r="O227" s="12" t="str">
        <f aca="false">IF(A227="","",IF(L227=0,"-",M227/L227*1000))</f>
        <v/>
      </c>
    </row>
    <row r="228" customFormat="false" ht="15" hidden="false" customHeight="fals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0" t="str">
        <f aca="false">IF(A228="","",COUNTIF(Posts!$B$2:$B$300,A228))</f>
        <v/>
      </c>
      <c r="L228" s="10" t="str">
        <f aca="false">IF(A228="","",SUMIF(Posts!$B$2:$B$300,A228,Posts!$F$2:$F$300))</f>
        <v/>
      </c>
      <c r="M228" s="11" t="str">
        <f aca="false">IF(A228="","",SUMIFS(Pagos!$D$2:$D$300,Pagos!$B$2:$B$300,A228,Pagos!$F$2:$F$300,"Pagado"))</f>
        <v/>
      </c>
      <c r="N228" s="11" t="str">
        <f aca="false">IF(A228="","",SUMIFS(Pagos!$D$2:$D$300,Pagos!$B$2:$B$300,A228,Pagos!$F$2:$F$300,"Pendiente"))</f>
        <v/>
      </c>
      <c r="O228" s="12" t="str">
        <f aca="false">IF(A228="","",IF(L228=0,"-",M228/L228*1000))</f>
        <v/>
      </c>
    </row>
    <row r="229" customFormat="false" ht="15" hidden="false" customHeight="fals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0" t="str">
        <f aca="false">IF(A229="","",COUNTIF(Posts!$B$2:$B$300,A229))</f>
        <v/>
      </c>
      <c r="L229" s="10" t="str">
        <f aca="false">IF(A229="","",SUMIF(Posts!$B$2:$B$300,A229,Posts!$F$2:$F$300))</f>
        <v/>
      </c>
      <c r="M229" s="11" t="str">
        <f aca="false">IF(A229="","",SUMIFS(Pagos!$D$2:$D$300,Pagos!$B$2:$B$300,A229,Pagos!$F$2:$F$300,"Pagado"))</f>
        <v/>
      </c>
      <c r="N229" s="11" t="str">
        <f aca="false">IF(A229="","",SUMIFS(Pagos!$D$2:$D$300,Pagos!$B$2:$B$300,A229,Pagos!$F$2:$F$300,"Pendiente"))</f>
        <v/>
      </c>
      <c r="O229" s="12" t="str">
        <f aca="false">IF(A229="","",IF(L229=0,"-",M229/L229*1000))</f>
        <v/>
      </c>
    </row>
    <row r="230" customFormat="false" ht="15" hidden="false" customHeight="fals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0" t="str">
        <f aca="false">IF(A230="","",COUNTIF(Posts!$B$2:$B$300,A230))</f>
        <v/>
      </c>
      <c r="L230" s="10" t="str">
        <f aca="false">IF(A230="","",SUMIF(Posts!$B$2:$B$300,A230,Posts!$F$2:$F$300))</f>
        <v/>
      </c>
      <c r="M230" s="11" t="str">
        <f aca="false">IF(A230="","",SUMIFS(Pagos!$D$2:$D$300,Pagos!$B$2:$B$300,A230,Pagos!$F$2:$F$300,"Pagado"))</f>
        <v/>
      </c>
      <c r="N230" s="11" t="str">
        <f aca="false">IF(A230="","",SUMIFS(Pagos!$D$2:$D$300,Pagos!$B$2:$B$300,A230,Pagos!$F$2:$F$300,"Pendiente"))</f>
        <v/>
      </c>
      <c r="O230" s="12" t="str">
        <f aca="false">IF(A230="","",IF(L230=0,"-",M230/L230*1000))</f>
        <v/>
      </c>
    </row>
    <row r="231" customFormat="false" ht="15" hidden="false" customHeight="fals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0" t="str">
        <f aca="false">IF(A231="","",COUNTIF(Posts!$B$2:$B$300,A231))</f>
        <v/>
      </c>
      <c r="L231" s="10" t="str">
        <f aca="false">IF(A231="","",SUMIF(Posts!$B$2:$B$300,A231,Posts!$F$2:$F$300))</f>
        <v/>
      </c>
      <c r="M231" s="11" t="str">
        <f aca="false">IF(A231="","",SUMIFS(Pagos!$D$2:$D$300,Pagos!$B$2:$B$300,A231,Pagos!$F$2:$F$300,"Pagado"))</f>
        <v/>
      </c>
      <c r="N231" s="11" t="str">
        <f aca="false">IF(A231="","",SUMIFS(Pagos!$D$2:$D$300,Pagos!$B$2:$B$300,A231,Pagos!$F$2:$F$300,"Pendiente"))</f>
        <v/>
      </c>
      <c r="O231" s="12" t="str">
        <f aca="false">IF(A231="","",IF(L231=0,"-",M231/L231*1000))</f>
        <v/>
      </c>
    </row>
    <row r="232" customFormat="false" ht="15" hidden="false" customHeight="fals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0" t="str">
        <f aca="false">IF(A232="","",COUNTIF(Posts!$B$2:$B$300,A232))</f>
        <v/>
      </c>
      <c r="L232" s="10" t="str">
        <f aca="false">IF(A232="","",SUMIF(Posts!$B$2:$B$300,A232,Posts!$F$2:$F$300))</f>
        <v/>
      </c>
      <c r="M232" s="11" t="str">
        <f aca="false">IF(A232="","",SUMIFS(Pagos!$D$2:$D$300,Pagos!$B$2:$B$300,A232,Pagos!$F$2:$F$300,"Pagado"))</f>
        <v/>
      </c>
      <c r="N232" s="11" t="str">
        <f aca="false">IF(A232="","",SUMIFS(Pagos!$D$2:$D$300,Pagos!$B$2:$B$300,A232,Pagos!$F$2:$F$300,"Pendiente"))</f>
        <v/>
      </c>
      <c r="O232" s="12" t="str">
        <f aca="false">IF(A232="","",IF(L232=0,"-",M232/L232*1000))</f>
        <v/>
      </c>
    </row>
    <row r="233" customFormat="false" ht="15" hidden="false" customHeight="fals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0" t="str">
        <f aca="false">IF(A233="","",COUNTIF(Posts!$B$2:$B$300,A233))</f>
        <v/>
      </c>
      <c r="L233" s="10" t="str">
        <f aca="false">IF(A233="","",SUMIF(Posts!$B$2:$B$300,A233,Posts!$F$2:$F$300))</f>
        <v/>
      </c>
      <c r="M233" s="11" t="str">
        <f aca="false">IF(A233="","",SUMIFS(Pagos!$D$2:$D$300,Pagos!$B$2:$B$300,A233,Pagos!$F$2:$F$300,"Pagado"))</f>
        <v/>
      </c>
      <c r="N233" s="11" t="str">
        <f aca="false">IF(A233="","",SUMIFS(Pagos!$D$2:$D$300,Pagos!$B$2:$B$300,A233,Pagos!$F$2:$F$300,"Pendiente"))</f>
        <v/>
      </c>
      <c r="O233" s="12" t="str">
        <f aca="false">IF(A233="","",IF(L233=0,"-",M233/L233*1000))</f>
        <v/>
      </c>
    </row>
    <row r="234" customFormat="false" ht="15" hidden="false" customHeight="fals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0" t="str">
        <f aca="false">IF(A234="","",COUNTIF(Posts!$B$2:$B$300,A234))</f>
        <v/>
      </c>
      <c r="L234" s="10" t="str">
        <f aca="false">IF(A234="","",SUMIF(Posts!$B$2:$B$300,A234,Posts!$F$2:$F$300))</f>
        <v/>
      </c>
      <c r="M234" s="11" t="str">
        <f aca="false">IF(A234="","",SUMIFS(Pagos!$D$2:$D$300,Pagos!$B$2:$B$300,A234,Pagos!$F$2:$F$300,"Pagado"))</f>
        <v/>
      </c>
      <c r="N234" s="11" t="str">
        <f aca="false">IF(A234="","",SUMIFS(Pagos!$D$2:$D$300,Pagos!$B$2:$B$300,A234,Pagos!$F$2:$F$300,"Pendiente"))</f>
        <v/>
      </c>
      <c r="O234" s="12" t="str">
        <f aca="false">IF(A234="","",IF(L234=0,"-",M234/L234*1000))</f>
        <v/>
      </c>
    </row>
    <row r="235" customFormat="false" ht="15" hidden="false" customHeight="fals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0" t="str">
        <f aca="false">IF(A235="","",COUNTIF(Posts!$B$2:$B$300,A235))</f>
        <v/>
      </c>
      <c r="L235" s="10" t="str">
        <f aca="false">IF(A235="","",SUMIF(Posts!$B$2:$B$300,A235,Posts!$F$2:$F$300))</f>
        <v/>
      </c>
      <c r="M235" s="11" t="str">
        <f aca="false">IF(A235="","",SUMIFS(Pagos!$D$2:$D$300,Pagos!$B$2:$B$300,A235,Pagos!$F$2:$F$300,"Pagado"))</f>
        <v/>
      </c>
      <c r="N235" s="11" t="str">
        <f aca="false">IF(A235="","",SUMIFS(Pagos!$D$2:$D$300,Pagos!$B$2:$B$300,A235,Pagos!$F$2:$F$300,"Pendiente"))</f>
        <v/>
      </c>
      <c r="O235" s="12" t="str">
        <f aca="false">IF(A235="","",IF(L235=0,"-",M235/L235*1000))</f>
        <v/>
      </c>
    </row>
    <row r="236" customFormat="false" ht="15" hidden="false" customHeight="fals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0" t="str">
        <f aca="false">IF(A236="","",COUNTIF(Posts!$B$2:$B$300,A236))</f>
        <v/>
      </c>
      <c r="L236" s="10" t="str">
        <f aca="false">IF(A236="","",SUMIF(Posts!$B$2:$B$300,A236,Posts!$F$2:$F$300))</f>
        <v/>
      </c>
      <c r="M236" s="11" t="str">
        <f aca="false">IF(A236="","",SUMIFS(Pagos!$D$2:$D$300,Pagos!$B$2:$B$300,A236,Pagos!$F$2:$F$300,"Pagado"))</f>
        <v/>
      </c>
      <c r="N236" s="11" t="str">
        <f aca="false">IF(A236="","",SUMIFS(Pagos!$D$2:$D$300,Pagos!$B$2:$B$300,A236,Pagos!$F$2:$F$300,"Pendiente"))</f>
        <v/>
      </c>
      <c r="O236" s="12" t="str">
        <f aca="false">IF(A236="","",IF(L236=0,"-",M236/L236*1000))</f>
        <v/>
      </c>
    </row>
    <row r="237" customFormat="false" ht="15" hidden="false" customHeight="fals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0" t="str">
        <f aca="false">IF(A237="","",COUNTIF(Posts!$B$2:$B$300,A237))</f>
        <v/>
      </c>
      <c r="L237" s="10" t="str">
        <f aca="false">IF(A237="","",SUMIF(Posts!$B$2:$B$300,A237,Posts!$F$2:$F$300))</f>
        <v/>
      </c>
      <c r="M237" s="11" t="str">
        <f aca="false">IF(A237="","",SUMIFS(Pagos!$D$2:$D$300,Pagos!$B$2:$B$300,A237,Pagos!$F$2:$F$300,"Pagado"))</f>
        <v/>
      </c>
      <c r="N237" s="11" t="str">
        <f aca="false">IF(A237="","",SUMIFS(Pagos!$D$2:$D$300,Pagos!$B$2:$B$300,A237,Pagos!$F$2:$F$300,"Pendiente"))</f>
        <v/>
      </c>
      <c r="O237" s="12" t="str">
        <f aca="false">IF(A237="","",IF(L237=0,"-",M237/L237*1000))</f>
        <v/>
      </c>
    </row>
    <row r="238" customFormat="false" ht="15" hidden="false" customHeight="fals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0" t="str">
        <f aca="false">IF(A238="","",COUNTIF(Posts!$B$2:$B$300,A238))</f>
        <v/>
      </c>
      <c r="L238" s="10" t="str">
        <f aca="false">IF(A238="","",SUMIF(Posts!$B$2:$B$300,A238,Posts!$F$2:$F$300))</f>
        <v/>
      </c>
      <c r="M238" s="11" t="str">
        <f aca="false">IF(A238="","",SUMIFS(Pagos!$D$2:$D$300,Pagos!$B$2:$B$300,A238,Pagos!$F$2:$F$300,"Pagado"))</f>
        <v/>
      </c>
      <c r="N238" s="11" t="str">
        <f aca="false">IF(A238="","",SUMIFS(Pagos!$D$2:$D$300,Pagos!$B$2:$B$300,A238,Pagos!$F$2:$F$300,"Pendiente"))</f>
        <v/>
      </c>
      <c r="O238" s="12" t="str">
        <f aca="false">IF(A238="","",IF(L238=0,"-",M238/L238*1000))</f>
        <v/>
      </c>
    </row>
    <row r="239" customFormat="false" ht="15" hidden="false" customHeight="fals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0" t="str">
        <f aca="false">IF(A239="","",COUNTIF(Posts!$B$2:$B$300,A239))</f>
        <v/>
      </c>
      <c r="L239" s="10" t="str">
        <f aca="false">IF(A239="","",SUMIF(Posts!$B$2:$B$300,A239,Posts!$F$2:$F$300))</f>
        <v/>
      </c>
      <c r="M239" s="11" t="str">
        <f aca="false">IF(A239="","",SUMIFS(Pagos!$D$2:$D$300,Pagos!$B$2:$B$300,A239,Pagos!$F$2:$F$300,"Pagado"))</f>
        <v/>
      </c>
      <c r="N239" s="11" t="str">
        <f aca="false">IF(A239="","",SUMIFS(Pagos!$D$2:$D$300,Pagos!$B$2:$B$300,A239,Pagos!$F$2:$F$300,"Pendiente"))</f>
        <v/>
      </c>
      <c r="O239" s="12" t="str">
        <f aca="false">IF(A239="","",IF(L239=0,"-",M239/L239*1000))</f>
        <v/>
      </c>
    </row>
    <row r="240" customFormat="false" ht="15" hidden="false" customHeight="fals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0" t="str">
        <f aca="false">IF(A240="","",COUNTIF(Posts!$B$2:$B$300,A240))</f>
        <v/>
      </c>
      <c r="L240" s="10" t="str">
        <f aca="false">IF(A240="","",SUMIF(Posts!$B$2:$B$300,A240,Posts!$F$2:$F$300))</f>
        <v/>
      </c>
      <c r="M240" s="11" t="str">
        <f aca="false">IF(A240="","",SUMIFS(Pagos!$D$2:$D$300,Pagos!$B$2:$B$300,A240,Pagos!$F$2:$F$300,"Pagado"))</f>
        <v/>
      </c>
      <c r="N240" s="11" t="str">
        <f aca="false">IF(A240="","",SUMIFS(Pagos!$D$2:$D$300,Pagos!$B$2:$B$300,A240,Pagos!$F$2:$F$300,"Pendiente"))</f>
        <v/>
      </c>
      <c r="O240" s="12" t="str">
        <f aca="false">IF(A240="","",IF(L240=0,"-",M240/L240*1000))</f>
        <v/>
      </c>
    </row>
    <row r="241" customFormat="false" ht="15" hidden="false" customHeight="fals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0" t="str">
        <f aca="false">IF(A241="","",COUNTIF(Posts!$B$2:$B$300,A241))</f>
        <v/>
      </c>
      <c r="L241" s="10" t="str">
        <f aca="false">IF(A241="","",SUMIF(Posts!$B$2:$B$300,A241,Posts!$F$2:$F$300))</f>
        <v/>
      </c>
      <c r="M241" s="11" t="str">
        <f aca="false">IF(A241="","",SUMIFS(Pagos!$D$2:$D$300,Pagos!$B$2:$B$300,A241,Pagos!$F$2:$F$300,"Pagado"))</f>
        <v/>
      </c>
      <c r="N241" s="11" t="str">
        <f aca="false">IF(A241="","",SUMIFS(Pagos!$D$2:$D$300,Pagos!$B$2:$B$300,A241,Pagos!$F$2:$F$300,"Pendiente"))</f>
        <v/>
      </c>
      <c r="O241" s="12" t="str">
        <f aca="false">IF(A241="","",IF(L241=0,"-",M241/L241*1000))</f>
        <v/>
      </c>
    </row>
    <row r="242" customFormat="false" ht="15" hidden="false" customHeight="fals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0" t="str">
        <f aca="false">IF(A242="","",COUNTIF(Posts!$B$2:$B$300,A242))</f>
        <v/>
      </c>
      <c r="L242" s="10" t="str">
        <f aca="false">IF(A242="","",SUMIF(Posts!$B$2:$B$300,A242,Posts!$F$2:$F$300))</f>
        <v/>
      </c>
      <c r="M242" s="11" t="str">
        <f aca="false">IF(A242="","",SUMIFS(Pagos!$D$2:$D$300,Pagos!$B$2:$B$300,A242,Pagos!$F$2:$F$300,"Pagado"))</f>
        <v/>
      </c>
      <c r="N242" s="11" t="str">
        <f aca="false">IF(A242="","",SUMIFS(Pagos!$D$2:$D$300,Pagos!$B$2:$B$300,A242,Pagos!$F$2:$F$300,"Pendiente"))</f>
        <v/>
      </c>
      <c r="O242" s="12" t="str">
        <f aca="false">IF(A242="","",IF(L242=0,"-",M242/L242*1000))</f>
        <v/>
      </c>
    </row>
    <row r="243" customFormat="false" ht="15" hidden="false" customHeight="fals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0" t="str">
        <f aca="false">IF(A243="","",COUNTIF(Posts!$B$2:$B$300,A243))</f>
        <v/>
      </c>
      <c r="L243" s="10" t="str">
        <f aca="false">IF(A243="","",SUMIF(Posts!$B$2:$B$300,A243,Posts!$F$2:$F$300))</f>
        <v/>
      </c>
      <c r="M243" s="11" t="str">
        <f aca="false">IF(A243="","",SUMIFS(Pagos!$D$2:$D$300,Pagos!$B$2:$B$300,A243,Pagos!$F$2:$F$300,"Pagado"))</f>
        <v/>
      </c>
      <c r="N243" s="11" t="str">
        <f aca="false">IF(A243="","",SUMIFS(Pagos!$D$2:$D$300,Pagos!$B$2:$B$300,A243,Pagos!$F$2:$F$300,"Pendiente"))</f>
        <v/>
      </c>
      <c r="O243" s="12" t="str">
        <f aca="false">IF(A243="","",IF(L243=0,"-",M243/L243*1000))</f>
        <v/>
      </c>
    </row>
    <row r="244" customFormat="false" ht="15" hidden="false" customHeight="fals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0" t="str">
        <f aca="false">IF(A244="","",COUNTIF(Posts!$B$2:$B$300,A244))</f>
        <v/>
      </c>
      <c r="L244" s="10" t="str">
        <f aca="false">IF(A244="","",SUMIF(Posts!$B$2:$B$300,A244,Posts!$F$2:$F$300))</f>
        <v/>
      </c>
      <c r="M244" s="11" t="str">
        <f aca="false">IF(A244="","",SUMIFS(Pagos!$D$2:$D$300,Pagos!$B$2:$B$300,A244,Pagos!$F$2:$F$300,"Pagado"))</f>
        <v/>
      </c>
      <c r="N244" s="11" t="str">
        <f aca="false">IF(A244="","",SUMIFS(Pagos!$D$2:$D$300,Pagos!$B$2:$B$300,A244,Pagos!$F$2:$F$300,"Pendiente"))</f>
        <v/>
      </c>
      <c r="O244" s="12" t="str">
        <f aca="false">IF(A244="","",IF(L244=0,"-",M244/L244*1000))</f>
        <v/>
      </c>
    </row>
    <row r="245" customFormat="false" ht="15" hidden="false" customHeight="fals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0" t="str">
        <f aca="false">IF(A245="","",COUNTIF(Posts!$B$2:$B$300,A245))</f>
        <v/>
      </c>
      <c r="L245" s="10" t="str">
        <f aca="false">IF(A245="","",SUMIF(Posts!$B$2:$B$300,A245,Posts!$F$2:$F$300))</f>
        <v/>
      </c>
      <c r="M245" s="11" t="str">
        <f aca="false">IF(A245="","",SUMIFS(Pagos!$D$2:$D$300,Pagos!$B$2:$B$300,A245,Pagos!$F$2:$F$300,"Pagado"))</f>
        <v/>
      </c>
      <c r="N245" s="11" t="str">
        <f aca="false">IF(A245="","",SUMIFS(Pagos!$D$2:$D$300,Pagos!$B$2:$B$300,A245,Pagos!$F$2:$F$300,"Pendiente"))</f>
        <v/>
      </c>
      <c r="O245" s="12" t="str">
        <f aca="false">IF(A245="","",IF(L245=0,"-",M245/L245*1000))</f>
        <v/>
      </c>
    </row>
    <row r="246" customFormat="false" ht="15" hidden="false" customHeight="fals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0" t="str">
        <f aca="false">IF(A246="","",COUNTIF(Posts!$B$2:$B$300,A246))</f>
        <v/>
      </c>
      <c r="L246" s="10" t="str">
        <f aca="false">IF(A246="","",SUMIF(Posts!$B$2:$B$300,A246,Posts!$F$2:$F$300))</f>
        <v/>
      </c>
      <c r="M246" s="11" t="str">
        <f aca="false">IF(A246="","",SUMIFS(Pagos!$D$2:$D$300,Pagos!$B$2:$B$300,A246,Pagos!$F$2:$F$300,"Pagado"))</f>
        <v/>
      </c>
      <c r="N246" s="11" t="str">
        <f aca="false">IF(A246="","",SUMIFS(Pagos!$D$2:$D$300,Pagos!$B$2:$B$300,A246,Pagos!$F$2:$F$300,"Pendiente"))</f>
        <v/>
      </c>
      <c r="O246" s="12" t="str">
        <f aca="false">IF(A246="","",IF(L246=0,"-",M246/L246*1000))</f>
        <v/>
      </c>
    </row>
    <row r="247" customFormat="false" ht="15" hidden="false" customHeight="fals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0" t="str">
        <f aca="false">IF(A247="","",COUNTIF(Posts!$B$2:$B$300,A247))</f>
        <v/>
      </c>
      <c r="L247" s="10" t="str">
        <f aca="false">IF(A247="","",SUMIF(Posts!$B$2:$B$300,A247,Posts!$F$2:$F$300))</f>
        <v/>
      </c>
      <c r="M247" s="11" t="str">
        <f aca="false">IF(A247="","",SUMIFS(Pagos!$D$2:$D$300,Pagos!$B$2:$B$300,A247,Pagos!$F$2:$F$300,"Pagado"))</f>
        <v/>
      </c>
      <c r="N247" s="11" t="str">
        <f aca="false">IF(A247="","",SUMIFS(Pagos!$D$2:$D$300,Pagos!$B$2:$B$300,A247,Pagos!$F$2:$F$300,"Pendiente"))</f>
        <v/>
      </c>
      <c r="O247" s="12" t="str">
        <f aca="false">IF(A247="","",IF(L247=0,"-",M247/L247*1000))</f>
        <v/>
      </c>
    </row>
    <row r="248" customFormat="false" ht="15" hidden="false" customHeight="fals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0" t="str">
        <f aca="false">IF(A248="","",COUNTIF(Posts!$B$2:$B$300,A248))</f>
        <v/>
      </c>
      <c r="L248" s="10" t="str">
        <f aca="false">IF(A248="","",SUMIF(Posts!$B$2:$B$300,A248,Posts!$F$2:$F$300))</f>
        <v/>
      </c>
      <c r="M248" s="11" t="str">
        <f aca="false">IF(A248="","",SUMIFS(Pagos!$D$2:$D$300,Pagos!$B$2:$B$300,A248,Pagos!$F$2:$F$300,"Pagado"))</f>
        <v/>
      </c>
      <c r="N248" s="11" t="str">
        <f aca="false">IF(A248="","",SUMIFS(Pagos!$D$2:$D$300,Pagos!$B$2:$B$300,A248,Pagos!$F$2:$F$300,"Pendiente"))</f>
        <v/>
      </c>
      <c r="O248" s="12" t="str">
        <f aca="false">IF(A248="","",IF(L248=0,"-",M248/L248*1000))</f>
        <v/>
      </c>
    </row>
    <row r="249" customFormat="false" ht="15" hidden="false" customHeight="fals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0" t="str">
        <f aca="false">IF(A249="","",COUNTIF(Posts!$B$2:$B$300,A249))</f>
        <v/>
      </c>
      <c r="L249" s="10" t="str">
        <f aca="false">IF(A249="","",SUMIF(Posts!$B$2:$B$300,A249,Posts!$F$2:$F$300))</f>
        <v/>
      </c>
      <c r="M249" s="11" t="str">
        <f aca="false">IF(A249="","",SUMIFS(Pagos!$D$2:$D$300,Pagos!$B$2:$B$300,A249,Pagos!$F$2:$F$300,"Pagado"))</f>
        <v/>
      </c>
      <c r="N249" s="11" t="str">
        <f aca="false">IF(A249="","",SUMIFS(Pagos!$D$2:$D$300,Pagos!$B$2:$B$300,A249,Pagos!$F$2:$F$300,"Pendiente"))</f>
        <v/>
      </c>
      <c r="O249" s="12" t="str">
        <f aca="false">IF(A249="","",IF(L249=0,"-",M249/L249*1000))</f>
        <v/>
      </c>
    </row>
    <row r="250" customFormat="false" ht="15" hidden="false" customHeight="fals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0" t="str">
        <f aca="false">IF(A250="","",COUNTIF(Posts!$B$2:$B$300,A250))</f>
        <v/>
      </c>
      <c r="L250" s="10" t="str">
        <f aca="false">IF(A250="","",SUMIF(Posts!$B$2:$B$300,A250,Posts!$F$2:$F$300))</f>
        <v/>
      </c>
      <c r="M250" s="11" t="str">
        <f aca="false">IF(A250="","",SUMIFS(Pagos!$D$2:$D$300,Pagos!$B$2:$B$300,A250,Pagos!$F$2:$F$300,"Pagado"))</f>
        <v/>
      </c>
      <c r="N250" s="11" t="str">
        <f aca="false">IF(A250="","",SUMIFS(Pagos!$D$2:$D$300,Pagos!$B$2:$B$300,A250,Pagos!$F$2:$F$300,"Pendiente"))</f>
        <v/>
      </c>
      <c r="O250" s="12" t="str">
        <f aca="false">IF(A250="","",IF(L250=0,"-",M250/L250*1000))</f>
        <v/>
      </c>
    </row>
    <row r="251" customFormat="false" ht="15" hidden="false" customHeight="fals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0" t="str">
        <f aca="false">IF(A251="","",COUNTIF(Posts!$B$2:$B$300,A251))</f>
        <v/>
      </c>
      <c r="L251" s="10" t="str">
        <f aca="false">IF(A251="","",SUMIF(Posts!$B$2:$B$300,A251,Posts!$F$2:$F$300))</f>
        <v/>
      </c>
      <c r="M251" s="11" t="str">
        <f aca="false">IF(A251="","",SUMIFS(Pagos!$D$2:$D$300,Pagos!$B$2:$B$300,A251,Pagos!$F$2:$F$300,"Pagado"))</f>
        <v/>
      </c>
      <c r="N251" s="11" t="str">
        <f aca="false">IF(A251="","",SUMIFS(Pagos!$D$2:$D$300,Pagos!$B$2:$B$300,A251,Pagos!$F$2:$F$300,"Pendiente"))</f>
        <v/>
      </c>
      <c r="O251" s="12" t="str">
        <f aca="false">IF(A251="","",IF(L251=0,"-",M251/L251*1000))</f>
        <v/>
      </c>
    </row>
    <row r="252" customFormat="false" ht="15" hidden="false" customHeight="fals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0" t="str">
        <f aca="false">IF(A252="","",COUNTIF(Posts!$B$2:$B$300,A252))</f>
        <v/>
      </c>
      <c r="L252" s="10" t="str">
        <f aca="false">IF(A252="","",SUMIF(Posts!$B$2:$B$300,A252,Posts!$F$2:$F$300))</f>
        <v/>
      </c>
      <c r="M252" s="11" t="str">
        <f aca="false">IF(A252="","",SUMIFS(Pagos!$D$2:$D$300,Pagos!$B$2:$B$300,A252,Pagos!$F$2:$F$300,"Pagado"))</f>
        <v/>
      </c>
      <c r="N252" s="11" t="str">
        <f aca="false">IF(A252="","",SUMIFS(Pagos!$D$2:$D$300,Pagos!$B$2:$B$300,A252,Pagos!$F$2:$F$300,"Pendiente"))</f>
        <v/>
      </c>
      <c r="O252" s="12" t="str">
        <f aca="false">IF(A252="","",IF(L252=0,"-",M252/L252*1000))</f>
        <v/>
      </c>
    </row>
    <row r="253" customFormat="false" ht="15" hidden="false" customHeight="fals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0" t="str">
        <f aca="false">IF(A253="","",COUNTIF(Posts!$B$2:$B$300,A253))</f>
        <v/>
      </c>
      <c r="L253" s="10" t="str">
        <f aca="false">IF(A253="","",SUMIF(Posts!$B$2:$B$300,A253,Posts!$F$2:$F$300))</f>
        <v/>
      </c>
      <c r="M253" s="11" t="str">
        <f aca="false">IF(A253="","",SUMIFS(Pagos!$D$2:$D$300,Pagos!$B$2:$B$300,A253,Pagos!$F$2:$F$300,"Pagado"))</f>
        <v/>
      </c>
      <c r="N253" s="11" t="str">
        <f aca="false">IF(A253="","",SUMIFS(Pagos!$D$2:$D$300,Pagos!$B$2:$B$300,A253,Pagos!$F$2:$F$300,"Pendiente"))</f>
        <v/>
      </c>
      <c r="O253" s="12" t="str">
        <f aca="false">IF(A253="","",IF(L253=0,"-",M253/L253*1000))</f>
        <v/>
      </c>
    </row>
    <row r="254" customFormat="false" ht="15" hidden="false" customHeight="fals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0" t="str">
        <f aca="false">IF(A254="","",COUNTIF(Posts!$B$2:$B$300,A254))</f>
        <v/>
      </c>
      <c r="L254" s="10" t="str">
        <f aca="false">IF(A254="","",SUMIF(Posts!$B$2:$B$300,A254,Posts!$F$2:$F$300))</f>
        <v/>
      </c>
      <c r="M254" s="11" t="str">
        <f aca="false">IF(A254="","",SUMIFS(Pagos!$D$2:$D$300,Pagos!$B$2:$B$300,A254,Pagos!$F$2:$F$300,"Pagado"))</f>
        <v/>
      </c>
      <c r="N254" s="11" t="str">
        <f aca="false">IF(A254="","",SUMIFS(Pagos!$D$2:$D$300,Pagos!$B$2:$B$300,A254,Pagos!$F$2:$F$300,"Pendiente"))</f>
        <v/>
      </c>
      <c r="O254" s="12" t="str">
        <f aca="false">IF(A254="","",IF(L254=0,"-",M254/L254*1000))</f>
        <v/>
      </c>
    </row>
    <row r="255" customFormat="false" ht="15" hidden="false" customHeight="fals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0" t="str">
        <f aca="false">IF(A255="","",COUNTIF(Posts!$B$2:$B$300,A255))</f>
        <v/>
      </c>
      <c r="L255" s="10" t="str">
        <f aca="false">IF(A255="","",SUMIF(Posts!$B$2:$B$300,A255,Posts!$F$2:$F$300))</f>
        <v/>
      </c>
      <c r="M255" s="11" t="str">
        <f aca="false">IF(A255="","",SUMIFS(Pagos!$D$2:$D$300,Pagos!$B$2:$B$300,A255,Pagos!$F$2:$F$300,"Pagado"))</f>
        <v/>
      </c>
      <c r="N255" s="11" t="str">
        <f aca="false">IF(A255="","",SUMIFS(Pagos!$D$2:$D$300,Pagos!$B$2:$B$300,A255,Pagos!$F$2:$F$300,"Pendiente"))</f>
        <v/>
      </c>
      <c r="O255" s="12" t="str">
        <f aca="false">IF(A255="","",IF(L255=0,"-",M255/L255*1000))</f>
        <v/>
      </c>
    </row>
    <row r="256" customFormat="false" ht="15" hidden="false" customHeight="fals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0" t="str">
        <f aca="false">IF(A256="","",COUNTIF(Posts!$B$2:$B$300,A256))</f>
        <v/>
      </c>
      <c r="L256" s="10" t="str">
        <f aca="false">IF(A256="","",SUMIF(Posts!$B$2:$B$300,A256,Posts!$F$2:$F$300))</f>
        <v/>
      </c>
      <c r="M256" s="11" t="str">
        <f aca="false">IF(A256="","",SUMIFS(Pagos!$D$2:$D$300,Pagos!$B$2:$B$300,A256,Pagos!$F$2:$F$300,"Pagado"))</f>
        <v/>
      </c>
      <c r="N256" s="11" t="str">
        <f aca="false">IF(A256="","",SUMIFS(Pagos!$D$2:$D$300,Pagos!$B$2:$B$300,A256,Pagos!$F$2:$F$300,"Pendiente"))</f>
        <v/>
      </c>
      <c r="O256" s="12" t="str">
        <f aca="false">IF(A256="","",IF(L256=0,"-",M256/L256*1000))</f>
        <v/>
      </c>
    </row>
    <row r="257" customFormat="false" ht="15" hidden="false" customHeight="fals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0" t="str">
        <f aca="false">IF(A257="","",COUNTIF(Posts!$B$2:$B$300,A257))</f>
        <v/>
      </c>
      <c r="L257" s="10" t="str">
        <f aca="false">IF(A257="","",SUMIF(Posts!$B$2:$B$300,A257,Posts!$F$2:$F$300))</f>
        <v/>
      </c>
      <c r="M257" s="11" t="str">
        <f aca="false">IF(A257="","",SUMIFS(Pagos!$D$2:$D$300,Pagos!$B$2:$B$300,A257,Pagos!$F$2:$F$300,"Pagado"))</f>
        <v/>
      </c>
      <c r="N257" s="11" t="str">
        <f aca="false">IF(A257="","",SUMIFS(Pagos!$D$2:$D$300,Pagos!$B$2:$B$300,A257,Pagos!$F$2:$F$300,"Pendiente"))</f>
        <v/>
      </c>
      <c r="O257" s="12" t="str">
        <f aca="false">IF(A257="","",IF(L257=0,"-",M257/L257*1000))</f>
        <v/>
      </c>
    </row>
    <row r="258" customFormat="false" ht="15" hidden="false" customHeight="fals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0" t="str">
        <f aca="false">IF(A258="","",COUNTIF(Posts!$B$2:$B$300,A258))</f>
        <v/>
      </c>
      <c r="L258" s="10" t="str">
        <f aca="false">IF(A258="","",SUMIF(Posts!$B$2:$B$300,A258,Posts!$F$2:$F$300))</f>
        <v/>
      </c>
      <c r="M258" s="11" t="str">
        <f aca="false">IF(A258="","",SUMIFS(Pagos!$D$2:$D$300,Pagos!$B$2:$B$300,A258,Pagos!$F$2:$F$300,"Pagado"))</f>
        <v/>
      </c>
      <c r="N258" s="11" t="str">
        <f aca="false">IF(A258="","",SUMIFS(Pagos!$D$2:$D$300,Pagos!$B$2:$B$300,A258,Pagos!$F$2:$F$300,"Pendiente"))</f>
        <v/>
      </c>
      <c r="O258" s="12" t="str">
        <f aca="false">IF(A258="","",IF(L258=0,"-",M258/L258*1000))</f>
        <v/>
      </c>
    </row>
    <row r="259" customFormat="false" ht="15" hidden="false" customHeight="fals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0" t="str">
        <f aca="false">IF(A259="","",COUNTIF(Posts!$B$2:$B$300,A259))</f>
        <v/>
      </c>
      <c r="L259" s="10" t="str">
        <f aca="false">IF(A259="","",SUMIF(Posts!$B$2:$B$300,A259,Posts!$F$2:$F$300))</f>
        <v/>
      </c>
      <c r="M259" s="11" t="str">
        <f aca="false">IF(A259="","",SUMIFS(Pagos!$D$2:$D$300,Pagos!$B$2:$B$300,A259,Pagos!$F$2:$F$300,"Pagado"))</f>
        <v/>
      </c>
      <c r="N259" s="11" t="str">
        <f aca="false">IF(A259="","",SUMIFS(Pagos!$D$2:$D$300,Pagos!$B$2:$B$300,A259,Pagos!$F$2:$F$300,"Pendiente"))</f>
        <v/>
      </c>
      <c r="O259" s="12" t="str">
        <f aca="false">IF(A259="","",IF(L259=0,"-",M259/L259*1000))</f>
        <v/>
      </c>
    </row>
    <row r="260" customFormat="false" ht="15" hidden="false" customHeight="fals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0" t="str">
        <f aca="false">IF(A260="","",COUNTIF(Posts!$B$2:$B$300,A260))</f>
        <v/>
      </c>
      <c r="L260" s="10" t="str">
        <f aca="false">IF(A260="","",SUMIF(Posts!$B$2:$B$300,A260,Posts!$F$2:$F$300))</f>
        <v/>
      </c>
      <c r="M260" s="11" t="str">
        <f aca="false">IF(A260="","",SUMIFS(Pagos!$D$2:$D$300,Pagos!$B$2:$B$300,A260,Pagos!$F$2:$F$300,"Pagado"))</f>
        <v/>
      </c>
      <c r="N260" s="11" t="str">
        <f aca="false">IF(A260="","",SUMIFS(Pagos!$D$2:$D$300,Pagos!$B$2:$B$300,A260,Pagos!$F$2:$F$300,"Pendiente"))</f>
        <v/>
      </c>
      <c r="O260" s="12" t="str">
        <f aca="false">IF(A260="","",IF(L260=0,"-",M260/L260*1000))</f>
        <v/>
      </c>
    </row>
    <row r="261" customFormat="false" ht="15" hidden="false" customHeight="fals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0" t="str">
        <f aca="false">IF(A261="","",COUNTIF(Posts!$B$2:$B$300,A261))</f>
        <v/>
      </c>
      <c r="L261" s="10" t="str">
        <f aca="false">IF(A261="","",SUMIF(Posts!$B$2:$B$300,A261,Posts!$F$2:$F$300))</f>
        <v/>
      </c>
      <c r="M261" s="11" t="str">
        <f aca="false">IF(A261="","",SUMIFS(Pagos!$D$2:$D$300,Pagos!$B$2:$B$300,A261,Pagos!$F$2:$F$300,"Pagado"))</f>
        <v/>
      </c>
      <c r="N261" s="11" t="str">
        <f aca="false">IF(A261="","",SUMIFS(Pagos!$D$2:$D$300,Pagos!$B$2:$B$300,A261,Pagos!$F$2:$F$300,"Pendiente"))</f>
        <v/>
      </c>
      <c r="O261" s="12" t="str">
        <f aca="false">IF(A261="","",IF(L261=0,"-",M261/L261*1000))</f>
        <v/>
      </c>
    </row>
    <row r="262" customFormat="false" ht="15" hidden="false" customHeight="fals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0" t="str">
        <f aca="false">IF(A262="","",COUNTIF(Posts!$B$2:$B$300,A262))</f>
        <v/>
      </c>
      <c r="L262" s="10" t="str">
        <f aca="false">IF(A262="","",SUMIF(Posts!$B$2:$B$300,A262,Posts!$F$2:$F$300))</f>
        <v/>
      </c>
      <c r="M262" s="11" t="str">
        <f aca="false">IF(A262="","",SUMIFS(Pagos!$D$2:$D$300,Pagos!$B$2:$B$300,A262,Pagos!$F$2:$F$300,"Pagado"))</f>
        <v/>
      </c>
      <c r="N262" s="11" t="str">
        <f aca="false">IF(A262="","",SUMIFS(Pagos!$D$2:$D$300,Pagos!$B$2:$B$300,A262,Pagos!$F$2:$F$300,"Pendiente"))</f>
        <v/>
      </c>
      <c r="O262" s="12" t="str">
        <f aca="false">IF(A262="","",IF(L262=0,"-",M262/L262*1000))</f>
        <v/>
      </c>
    </row>
    <row r="263" customFormat="false" ht="15" hidden="false" customHeight="fals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0" t="str">
        <f aca="false">IF(A263="","",COUNTIF(Posts!$B$2:$B$300,A263))</f>
        <v/>
      </c>
      <c r="L263" s="10" t="str">
        <f aca="false">IF(A263="","",SUMIF(Posts!$B$2:$B$300,A263,Posts!$F$2:$F$300))</f>
        <v/>
      </c>
      <c r="M263" s="11" t="str">
        <f aca="false">IF(A263="","",SUMIFS(Pagos!$D$2:$D$300,Pagos!$B$2:$B$300,A263,Pagos!$F$2:$F$300,"Pagado"))</f>
        <v/>
      </c>
      <c r="N263" s="11" t="str">
        <f aca="false">IF(A263="","",SUMIFS(Pagos!$D$2:$D$300,Pagos!$B$2:$B$300,A263,Pagos!$F$2:$F$300,"Pendiente"))</f>
        <v/>
      </c>
      <c r="O263" s="12" t="str">
        <f aca="false">IF(A263="","",IF(L263=0,"-",M263/L263*1000))</f>
        <v/>
      </c>
    </row>
    <row r="264" customFormat="false" ht="15" hidden="false" customHeight="fals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0" t="str">
        <f aca="false">IF(A264="","",COUNTIF(Posts!$B$2:$B$300,A264))</f>
        <v/>
      </c>
      <c r="L264" s="10" t="str">
        <f aca="false">IF(A264="","",SUMIF(Posts!$B$2:$B$300,A264,Posts!$F$2:$F$300))</f>
        <v/>
      </c>
      <c r="M264" s="11" t="str">
        <f aca="false">IF(A264="","",SUMIFS(Pagos!$D$2:$D$300,Pagos!$B$2:$B$300,A264,Pagos!$F$2:$F$300,"Pagado"))</f>
        <v/>
      </c>
      <c r="N264" s="11" t="str">
        <f aca="false">IF(A264="","",SUMIFS(Pagos!$D$2:$D$300,Pagos!$B$2:$B$300,A264,Pagos!$F$2:$F$300,"Pendiente"))</f>
        <v/>
      </c>
      <c r="O264" s="12" t="str">
        <f aca="false">IF(A264="","",IF(L264=0,"-",M264/L264*1000))</f>
        <v/>
      </c>
    </row>
    <row r="265" customFormat="false" ht="15" hidden="false" customHeight="fals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0" t="str">
        <f aca="false">IF(A265="","",COUNTIF(Posts!$B$2:$B$300,A265))</f>
        <v/>
      </c>
      <c r="L265" s="10" t="str">
        <f aca="false">IF(A265="","",SUMIF(Posts!$B$2:$B$300,A265,Posts!$F$2:$F$300))</f>
        <v/>
      </c>
      <c r="M265" s="11" t="str">
        <f aca="false">IF(A265="","",SUMIFS(Pagos!$D$2:$D$300,Pagos!$B$2:$B$300,A265,Pagos!$F$2:$F$300,"Pagado"))</f>
        <v/>
      </c>
      <c r="N265" s="11" t="str">
        <f aca="false">IF(A265="","",SUMIFS(Pagos!$D$2:$D$300,Pagos!$B$2:$B$300,A265,Pagos!$F$2:$F$300,"Pendiente"))</f>
        <v/>
      </c>
      <c r="O265" s="12" t="str">
        <f aca="false">IF(A265="","",IF(L265=0,"-",M265/L265*1000))</f>
        <v/>
      </c>
    </row>
    <row r="266" customFormat="false" ht="15" hidden="false" customHeight="fals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0" t="str">
        <f aca="false">IF(A266="","",COUNTIF(Posts!$B$2:$B$300,A266))</f>
        <v/>
      </c>
      <c r="L266" s="10" t="str">
        <f aca="false">IF(A266="","",SUMIF(Posts!$B$2:$B$300,A266,Posts!$F$2:$F$300))</f>
        <v/>
      </c>
      <c r="M266" s="11" t="str">
        <f aca="false">IF(A266="","",SUMIFS(Pagos!$D$2:$D$300,Pagos!$B$2:$B$300,A266,Pagos!$F$2:$F$300,"Pagado"))</f>
        <v/>
      </c>
      <c r="N266" s="11" t="str">
        <f aca="false">IF(A266="","",SUMIFS(Pagos!$D$2:$D$300,Pagos!$B$2:$B$300,A266,Pagos!$F$2:$F$300,"Pendiente"))</f>
        <v/>
      </c>
      <c r="O266" s="12" t="str">
        <f aca="false">IF(A266="","",IF(L266=0,"-",M266/L266*1000))</f>
        <v/>
      </c>
    </row>
    <row r="267" customFormat="false" ht="15" hidden="false" customHeight="fals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0" t="str">
        <f aca="false">IF(A267="","",COUNTIF(Posts!$B$2:$B$300,A267))</f>
        <v/>
      </c>
      <c r="L267" s="10" t="str">
        <f aca="false">IF(A267="","",SUMIF(Posts!$B$2:$B$300,A267,Posts!$F$2:$F$300))</f>
        <v/>
      </c>
      <c r="M267" s="11" t="str">
        <f aca="false">IF(A267="","",SUMIFS(Pagos!$D$2:$D$300,Pagos!$B$2:$B$300,A267,Pagos!$F$2:$F$300,"Pagado"))</f>
        <v/>
      </c>
      <c r="N267" s="11" t="str">
        <f aca="false">IF(A267="","",SUMIFS(Pagos!$D$2:$D$300,Pagos!$B$2:$B$300,A267,Pagos!$F$2:$F$300,"Pendiente"))</f>
        <v/>
      </c>
      <c r="O267" s="12" t="str">
        <f aca="false">IF(A267="","",IF(L267=0,"-",M267/L267*1000))</f>
        <v/>
      </c>
    </row>
    <row r="268" customFormat="false" ht="15" hidden="false" customHeight="fals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0" t="str">
        <f aca="false">IF(A268="","",COUNTIF(Posts!$B$2:$B$300,A268))</f>
        <v/>
      </c>
      <c r="L268" s="10" t="str">
        <f aca="false">IF(A268="","",SUMIF(Posts!$B$2:$B$300,A268,Posts!$F$2:$F$300))</f>
        <v/>
      </c>
      <c r="M268" s="11" t="str">
        <f aca="false">IF(A268="","",SUMIFS(Pagos!$D$2:$D$300,Pagos!$B$2:$B$300,A268,Pagos!$F$2:$F$300,"Pagado"))</f>
        <v/>
      </c>
      <c r="N268" s="11" t="str">
        <f aca="false">IF(A268="","",SUMIFS(Pagos!$D$2:$D$300,Pagos!$B$2:$B$300,A268,Pagos!$F$2:$F$300,"Pendiente"))</f>
        <v/>
      </c>
      <c r="O268" s="12" t="str">
        <f aca="false">IF(A268="","",IF(L268=0,"-",M268/L268*1000))</f>
        <v/>
      </c>
    </row>
    <row r="269" customFormat="false" ht="15" hidden="false" customHeight="fals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0" t="str">
        <f aca="false">IF(A269="","",COUNTIF(Posts!$B$2:$B$300,A269))</f>
        <v/>
      </c>
      <c r="L269" s="10" t="str">
        <f aca="false">IF(A269="","",SUMIF(Posts!$B$2:$B$300,A269,Posts!$F$2:$F$300))</f>
        <v/>
      </c>
      <c r="M269" s="11" t="str">
        <f aca="false">IF(A269="","",SUMIFS(Pagos!$D$2:$D$300,Pagos!$B$2:$B$300,A269,Pagos!$F$2:$F$300,"Pagado"))</f>
        <v/>
      </c>
      <c r="N269" s="11" t="str">
        <f aca="false">IF(A269="","",SUMIFS(Pagos!$D$2:$D$300,Pagos!$B$2:$B$300,A269,Pagos!$F$2:$F$300,"Pendiente"))</f>
        <v/>
      </c>
      <c r="O269" s="12" t="str">
        <f aca="false">IF(A269="","",IF(L269=0,"-",M269/L269*1000))</f>
        <v/>
      </c>
    </row>
    <row r="270" customFormat="false" ht="15" hidden="false" customHeight="fals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0" t="str">
        <f aca="false">IF(A270="","",COUNTIF(Posts!$B$2:$B$300,A270))</f>
        <v/>
      </c>
      <c r="L270" s="10" t="str">
        <f aca="false">IF(A270="","",SUMIF(Posts!$B$2:$B$300,A270,Posts!$F$2:$F$300))</f>
        <v/>
      </c>
      <c r="M270" s="11" t="str">
        <f aca="false">IF(A270="","",SUMIFS(Pagos!$D$2:$D$300,Pagos!$B$2:$B$300,A270,Pagos!$F$2:$F$300,"Pagado"))</f>
        <v/>
      </c>
      <c r="N270" s="11" t="str">
        <f aca="false">IF(A270="","",SUMIFS(Pagos!$D$2:$D$300,Pagos!$B$2:$B$300,A270,Pagos!$F$2:$F$300,"Pendiente"))</f>
        <v/>
      </c>
      <c r="O270" s="12" t="str">
        <f aca="false">IF(A270="","",IF(L270=0,"-",M270/L270*1000))</f>
        <v/>
      </c>
    </row>
    <row r="271" customFormat="false" ht="15" hidden="false" customHeight="fals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0" t="str">
        <f aca="false">IF(A271="","",COUNTIF(Posts!$B$2:$B$300,A271))</f>
        <v/>
      </c>
      <c r="L271" s="10" t="str">
        <f aca="false">IF(A271="","",SUMIF(Posts!$B$2:$B$300,A271,Posts!$F$2:$F$300))</f>
        <v/>
      </c>
      <c r="M271" s="11" t="str">
        <f aca="false">IF(A271="","",SUMIFS(Pagos!$D$2:$D$300,Pagos!$B$2:$B$300,A271,Pagos!$F$2:$F$300,"Pagado"))</f>
        <v/>
      </c>
      <c r="N271" s="11" t="str">
        <f aca="false">IF(A271="","",SUMIFS(Pagos!$D$2:$D$300,Pagos!$B$2:$B$300,A271,Pagos!$F$2:$F$300,"Pendiente"))</f>
        <v/>
      </c>
      <c r="O271" s="12" t="str">
        <f aca="false">IF(A271="","",IF(L271=0,"-",M271/L271*1000))</f>
        <v/>
      </c>
    </row>
    <row r="272" customFormat="false" ht="15" hidden="false" customHeight="fals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0" t="str">
        <f aca="false">IF(A272="","",COUNTIF(Posts!$B$2:$B$300,A272))</f>
        <v/>
      </c>
      <c r="L272" s="10" t="str">
        <f aca="false">IF(A272="","",SUMIF(Posts!$B$2:$B$300,A272,Posts!$F$2:$F$300))</f>
        <v/>
      </c>
      <c r="M272" s="11" t="str">
        <f aca="false">IF(A272="","",SUMIFS(Pagos!$D$2:$D$300,Pagos!$B$2:$B$300,A272,Pagos!$F$2:$F$300,"Pagado"))</f>
        <v/>
      </c>
      <c r="N272" s="11" t="str">
        <f aca="false">IF(A272="","",SUMIFS(Pagos!$D$2:$D$300,Pagos!$B$2:$B$300,A272,Pagos!$F$2:$F$300,"Pendiente"))</f>
        <v/>
      </c>
      <c r="O272" s="12" t="str">
        <f aca="false">IF(A272="","",IF(L272=0,"-",M272/L272*1000))</f>
        <v/>
      </c>
    </row>
    <row r="273" customFormat="false" ht="15" hidden="false" customHeight="fals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0" t="str">
        <f aca="false">IF(A273="","",COUNTIF(Posts!$B$2:$B$300,A273))</f>
        <v/>
      </c>
      <c r="L273" s="10" t="str">
        <f aca="false">IF(A273="","",SUMIF(Posts!$B$2:$B$300,A273,Posts!$F$2:$F$300))</f>
        <v/>
      </c>
      <c r="M273" s="11" t="str">
        <f aca="false">IF(A273="","",SUMIFS(Pagos!$D$2:$D$300,Pagos!$B$2:$B$300,A273,Pagos!$F$2:$F$300,"Pagado"))</f>
        <v/>
      </c>
      <c r="N273" s="11" t="str">
        <f aca="false">IF(A273="","",SUMIFS(Pagos!$D$2:$D$300,Pagos!$B$2:$B$300,A273,Pagos!$F$2:$F$300,"Pendiente"))</f>
        <v/>
      </c>
      <c r="O273" s="12" t="str">
        <f aca="false">IF(A273="","",IF(L273=0,"-",M273/L273*1000))</f>
        <v/>
      </c>
    </row>
    <row r="274" customFormat="false" ht="15" hidden="false" customHeight="fals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0" t="str">
        <f aca="false">IF(A274="","",COUNTIF(Posts!$B$2:$B$300,A274))</f>
        <v/>
      </c>
      <c r="L274" s="10" t="str">
        <f aca="false">IF(A274="","",SUMIF(Posts!$B$2:$B$300,A274,Posts!$F$2:$F$300))</f>
        <v/>
      </c>
      <c r="M274" s="11" t="str">
        <f aca="false">IF(A274="","",SUMIFS(Pagos!$D$2:$D$300,Pagos!$B$2:$B$300,A274,Pagos!$F$2:$F$300,"Pagado"))</f>
        <v/>
      </c>
      <c r="N274" s="11" t="str">
        <f aca="false">IF(A274="","",SUMIFS(Pagos!$D$2:$D$300,Pagos!$B$2:$B$300,A274,Pagos!$F$2:$F$300,"Pendiente"))</f>
        <v/>
      </c>
      <c r="O274" s="12" t="str">
        <f aca="false">IF(A274="","",IF(L274=0,"-",M274/L274*1000))</f>
        <v/>
      </c>
    </row>
    <row r="275" customFormat="false" ht="15" hidden="false" customHeight="fals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0" t="str">
        <f aca="false">IF(A275="","",COUNTIF(Posts!$B$2:$B$300,A275))</f>
        <v/>
      </c>
      <c r="L275" s="10" t="str">
        <f aca="false">IF(A275="","",SUMIF(Posts!$B$2:$B$300,A275,Posts!$F$2:$F$300))</f>
        <v/>
      </c>
      <c r="M275" s="11" t="str">
        <f aca="false">IF(A275="","",SUMIFS(Pagos!$D$2:$D$300,Pagos!$B$2:$B$300,A275,Pagos!$F$2:$F$300,"Pagado"))</f>
        <v/>
      </c>
      <c r="N275" s="11" t="str">
        <f aca="false">IF(A275="","",SUMIFS(Pagos!$D$2:$D$300,Pagos!$B$2:$B$300,A275,Pagos!$F$2:$F$300,"Pendiente"))</f>
        <v/>
      </c>
      <c r="O275" s="12" t="str">
        <f aca="false">IF(A275="","",IF(L275=0,"-",M275/L275*1000))</f>
        <v/>
      </c>
    </row>
    <row r="276" customFormat="false" ht="15" hidden="false" customHeight="fals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0" t="str">
        <f aca="false">IF(A276="","",COUNTIF(Posts!$B$2:$B$300,A276))</f>
        <v/>
      </c>
      <c r="L276" s="10" t="str">
        <f aca="false">IF(A276="","",SUMIF(Posts!$B$2:$B$300,A276,Posts!$F$2:$F$300))</f>
        <v/>
      </c>
      <c r="M276" s="11" t="str">
        <f aca="false">IF(A276="","",SUMIFS(Pagos!$D$2:$D$300,Pagos!$B$2:$B$300,A276,Pagos!$F$2:$F$300,"Pagado"))</f>
        <v/>
      </c>
      <c r="N276" s="11" t="str">
        <f aca="false">IF(A276="","",SUMIFS(Pagos!$D$2:$D$300,Pagos!$B$2:$B$300,A276,Pagos!$F$2:$F$300,"Pendiente"))</f>
        <v/>
      </c>
      <c r="O276" s="12" t="str">
        <f aca="false">IF(A276="","",IF(L276=0,"-",M276/L276*1000))</f>
        <v/>
      </c>
    </row>
    <row r="277" customFormat="false" ht="15" hidden="false" customHeight="fals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0" t="str">
        <f aca="false">IF(A277="","",COUNTIF(Posts!$B$2:$B$300,A277))</f>
        <v/>
      </c>
      <c r="L277" s="10" t="str">
        <f aca="false">IF(A277="","",SUMIF(Posts!$B$2:$B$300,A277,Posts!$F$2:$F$300))</f>
        <v/>
      </c>
      <c r="M277" s="11" t="str">
        <f aca="false">IF(A277="","",SUMIFS(Pagos!$D$2:$D$300,Pagos!$B$2:$B$300,A277,Pagos!$F$2:$F$300,"Pagado"))</f>
        <v/>
      </c>
      <c r="N277" s="11" t="str">
        <f aca="false">IF(A277="","",SUMIFS(Pagos!$D$2:$D$300,Pagos!$B$2:$B$300,A277,Pagos!$F$2:$F$300,"Pendiente"))</f>
        <v/>
      </c>
      <c r="O277" s="12" t="str">
        <f aca="false">IF(A277="","",IF(L277=0,"-",M277/L277*1000))</f>
        <v/>
      </c>
    </row>
    <row r="278" customFormat="false" ht="15" hidden="false" customHeight="fals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0" t="str">
        <f aca="false">IF(A278="","",COUNTIF(Posts!$B$2:$B$300,A278))</f>
        <v/>
      </c>
      <c r="L278" s="10" t="str">
        <f aca="false">IF(A278="","",SUMIF(Posts!$B$2:$B$300,A278,Posts!$F$2:$F$300))</f>
        <v/>
      </c>
      <c r="M278" s="11" t="str">
        <f aca="false">IF(A278="","",SUMIFS(Pagos!$D$2:$D$300,Pagos!$B$2:$B$300,A278,Pagos!$F$2:$F$300,"Pagado"))</f>
        <v/>
      </c>
      <c r="N278" s="11" t="str">
        <f aca="false">IF(A278="","",SUMIFS(Pagos!$D$2:$D$300,Pagos!$B$2:$B$300,A278,Pagos!$F$2:$F$300,"Pendiente"))</f>
        <v/>
      </c>
      <c r="O278" s="12" t="str">
        <f aca="false">IF(A278="","",IF(L278=0,"-",M278/L278*1000))</f>
        <v/>
      </c>
    </row>
    <row r="279" customFormat="false" ht="15" hidden="false" customHeight="fals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0" t="str">
        <f aca="false">IF(A279="","",COUNTIF(Posts!$B$2:$B$300,A279))</f>
        <v/>
      </c>
      <c r="L279" s="10" t="str">
        <f aca="false">IF(A279="","",SUMIF(Posts!$B$2:$B$300,A279,Posts!$F$2:$F$300))</f>
        <v/>
      </c>
      <c r="M279" s="11" t="str">
        <f aca="false">IF(A279="","",SUMIFS(Pagos!$D$2:$D$300,Pagos!$B$2:$B$300,A279,Pagos!$F$2:$F$300,"Pagado"))</f>
        <v/>
      </c>
      <c r="N279" s="11" t="str">
        <f aca="false">IF(A279="","",SUMIFS(Pagos!$D$2:$D$300,Pagos!$B$2:$B$300,A279,Pagos!$F$2:$F$300,"Pendiente"))</f>
        <v/>
      </c>
      <c r="O279" s="12" t="str">
        <f aca="false">IF(A279="","",IF(L279=0,"-",M279/L279*1000))</f>
        <v/>
      </c>
    </row>
    <row r="280" customFormat="false" ht="15" hidden="false" customHeight="fals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0" t="str">
        <f aca="false">IF(A280="","",COUNTIF(Posts!$B$2:$B$300,A280))</f>
        <v/>
      </c>
      <c r="L280" s="10" t="str">
        <f aca="false">IF(A280="","",SUMIF(Posts!$B$2:$B$300,A280,Posts!$F$2:$F$300))</f>
        <v/>
      </c>
      <c r="M280" s="11" t="str">
        <f aca="false">IF(A280="","",SUMIFS(Pagos!$D$2:$D$300,Pagos!$B$2:$B$300,A280,Pagos!$F$2:$F$300,"Pagado"))</f>
        <v/>
      </c>
      <c r="N280" s="11" t="str">
        <f aca="false">IF(A280="","",SUMIFS(Pagos!$D$2:$D$300,Pagos!$B$2:$B$300,A280,Pagos!$F$2:$F$300,"Pendiente"))</f>
        <v/>
      </c>
      <c r="O280" s="12" t="str">
        <f aca="false">IF(A280="","",IF(L280=0,"-",M280/L280*1000))</f>
        <v/>
      </c>
    </row>
    <row r="281" customFormat="false" ht="15" hidden="false" customHeight="fals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0" t="str">
        <f aca="false">IF(A281="","",COUNTIF(Posts!$B$2:$B$300,A281))</f>
        <v/>
      </c>
      <c r="L281" s="10" t="str">
        <f aca="false">IF(A281="","",SUMIF(Posts!$B$2:$B$300,A281,Posts!$F$2:$F$300))</f>
        <v/>
      </c>
      <c r="M281" s="11" t="str">
        <f aca="false">IF(A281="","",SUMIFS(Pagos!$D$2:$D$300,Pagos!$B$2:$B$300,A281,Pagos!$F$2:$F$300,"Pagado"))</f>
        <v/>
      </c>
      <c r="N281" s="11" t="str">
        <f aca="false">IF(A281="","",SUMIFS(Pagos!$D$2:$D$300,Pagos!$B$2:$B$300,A281,Pagos!$F$2:$F$300,"Pendiente"))</f>
        <v/>
      </c>
      <c r="O281" s="12" t="str">
        <f aca="false">IF(A281="","",IF(L281=0,"-",M281/L281*1000))</f>
        <v/>
      </c>
    </row>
    <row r="282" customFormat="false" ht="15" hidden="false" customHeight="fals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0" t="str">
        <f aca="false">IF(A282="","",COUNTIF(Posts!$B$2:$B$300,A282))</f>
        <v/>
      </c>
      <c r="L282" s="10" t="str">
        <f aca="false">IF(A282="","",SUMIF(Posts!$B$2:$B$300,A282,Posts!$F$2:$F$300))</f>
        <v/>
      </c>
      <c r="M282" s="11" t="str">
        <f aca="false">IF(A282="","",SUMIFS(Pagos!$D$2:$D$300,Pagos!$B$2:$B$300,A282,Pagos!$F$2:$F$300,"Pagado"))</f>
        <v/>
      </c>
      <c r="N282" s="11" t="str">
        <f aca="false">IF(A282="","",SUMIFS(Pagos!$D$2:$D$300,Pagos!$B$2:$B$300,A282,Pagos!$F$2:$F$300,"Pendiente"))</f>
        <v/>
      </c>
      <c r="O282" s="12" t="str">
        <f aca="false">IF(A282="","",IF(L282=0,"-",M282/L282*1000))</f>
        <v/>
      </c>
    </row>
    <row r="283" customFormat="false" ht="15" hidden="false" customHeight="fals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0" t="str">
        <f aca="false">IF(A283="","",COUNTIF(Posts!$B$2:$B$300,A283))</f>
        <v/>
      </c>
      <c r="L283" s="10" t="str">
        <f aca="false">IF(A283="","",SUMIF(Posts!$B$2:$B$300,A283,Posts!$F$2:$F$300))</f>
        <v/>
      </c>
      <c r="M283" s="11" t="str">
        <f aca="false">IF(A283="","",SUMIFS(Pagos!$D$2:$D$300,Pagos!$B$2:$B$300,A283,Pagos!$F$2:$F$300,"Pagado"))</f>
        <v/>
      </c>
      <c r="N283" s="11" t="str">
        <f aca="false">IF(A283="","",SUMIFS(Pagos!$D$2:$D$300,Pagos!$B$2:$B$300,A283,Pagos!$F$2:$F$300,"Pendiente"))</f>
        <v/>
      </c>
      <c r="O283" s="12" t="str">
        <f aca="false">IF(A283="","",IF(L283=0,"-",M283/L283*1000))</f>
        <v/>
      </c>
    </row>
    <row r="284" customFormat="false" ht="15" hidden="false" customHeight="fals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0" t="str">
        <f aca="false">IF(A284="","",COUNTIF(Posts!$B$2:$B$300,A284))</f>
        <v/>
      </c>
      <c r="L284" s="10" t="str">
        <f aca="false">IF(A284="","",SUMIF(Posts!$B$2:$B$300,A284,Posts!$F$2:$F$300))</f>
        <v/>
      </c>
      <c r="M284" s="11" t="str">
        <f aca="false">IF(A284="","",SUMIFS(Pagos!$D$2:$D$300,Pagos!$B$2:$B$300,A284,Pagos!$F$2:$F$300,"Pagado"))</f>
        <v/>
      </c>
      <c r="N284" s="11" t="str">
        <f aca="false">IF(A284="","",SUMIFS(Pagos!$D$2:$D$300,Pagos!$B$2:$B$300,A284,Pagos!$F$2:$F$300,"Pendiente"))</f>
        <v/>
      </c>
      <c r="O284" s="12" t="str">
        <f aca="false">IF(A284="","",IF(L284=0,"-",M284/L284*1000))</f>
        <v/>
      </c>
    </row>
    <row r="285" customFormat="false" ht="15" hidden="false" customHeight="fals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0" t="str">
        <f aca="false">IF(A285="","",COUNTIF(Posts!$B$2:$B$300,A285))</f>
        <v/>
      </c>
      <c r="L285" s="10" t="str">
        <f aca="false">IF(A285="","",SUMIF(Posts!$B$2:$B$300,A285,Posts!$F$2:$F$300))</f>
        <v/>
      </c>
      <c r="M285" s="11" t="str">
        <f aca="false">IF(A285="","",SUMIFS(Pagos!$D$2:$D$300,Pagos!$B$2:$B$300,A285,Pagos!$F$2:$F$300,"Pagado"))</f>
        <v/>
      </c>
      <c r="N285" s="11" t="str">
        <f aca="false">IF(A285="","",SUMIFS(Pagos!$D$2:$D$300,Pagos!$B$2:$B$300,A285,Pagos!$F$2:$F$300,"Pendiente"))</f>
        <v/>
      </c>
      <c r="O285" s="12" t="str">
        <f aca="false">IF(A285="","",IF(L285=0,"-",M285/L285*1000))</f>
        <v/>
      </c>
    </row>
    <row r="286" customFormat="false" ht="15" hidden="false" customHeight="fals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0" t="str">
        <f aca="false">IF(A286="","",COUNTIF(Posts!$B$2:$B$300,A286))</f>
        <v/>
      </c>
      <c r="L286" s="10" t="str">
        <f aca="false">IF(A286="","",SUMIF(Posts!$B$2:$B$300,A286,Posts!$F$2:$F$300))</f>
        <v/>
      </c>
      <c r="M286" s="11" t="str">
        <f aca="false">IF(A286="","",SUMIFS(Pagos!$D$2:$D$300,Pagos!$B$2:$B$300,A286,Pagos!$F$2:$F$300,"Pagado"))</f>
        <v/>
      </c>
      <c r="N286" s="11" t="str">
        <f aca="false">IF(A286="","",SUMIFS(Pagos!$D$2:$D$300,Pagos!$B$2:$B$300,A286,Pagos!$F$2:$F$300,"Pendiente"))</f>
        <v/>
      </c>
      <c r="O286" s="12" t="str">
        <f aca="false">IF(A286="","",IF(L286=0,"-",M286/L286*1000))</f>
        <v/>
      </c>
    </row>
    <row r="287" customFormat="false" ht="15" hidden="false" customHeight="fals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0" t="str">
        <f aca="false">IF(A287="","",COUNTIF(Posts!$B$2:$B$300,A287))</f>
        <v/>
      </c>
      <c r="L287" s="10" t="str">
        <f aca="false">IF(A287="","",SUMIF(Posts!$B$2:$B$300,A287,Posts!$F$2:$F$300))</f>
        <v/>
      </c>
      <c r="M287" s="11" t="str">
        <f aca="false">IF(A287="","",SUMIFS(Pagos!$D$2:$D$300,Pagos!$B$2:$B$300,A287,Pagos!$F$2:$F$300,"Pagado"))</f>
        <v/>
      </c>
      <c r="N287" s="11" t="str">
        <f aca="false">IF(A287="","",SUMIFS(Pagos!$D$2:$D$300,Pagos!$B$2:$B$300,A287,Pagos!$F$2:$F$300,"Pendiente"))</f>
        <v/>
      </c>
      <c r="O287" s="12" t="str">
        <f aca="false">IF(A287="","",IF(L287=0,"-",M287/L287*1000))</f>
        <v/>
      </c>
    </row>
    <row r="288" customFormat="false" ht="15" hidden="false" customHeight="fals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0" t="str">
        <f aca="false">IF(A288="","",COUNTIF(Posts!$B$2:$B$300,A288))</f>
        <v/>
      </c>
      <c r="L288" s="10" t="str">
        <f aca="false">IF(A288="","",SUMIF(Posts!$B$2:$B$300,A288,Posts!$F$2:$F$300))</f>
        <v/>
      </c>
      <c r="M288" s="11" t="str">
        <f aca="false">IF(A288="","",SUMIFS(Pagos!$D$2:$D$300,Pagos!$B$2:$B$300,A288,Pagos!$F$2:$F$300,"Pagado"))</f>
        <v/>
      </c>
      <c r="N288" s="11" t="str">
        <f aca="false">IF(A288="","",SUMIFS(Pagos!$D$2:$D$300,Pagos!$B$2:$B$300,A288,Pagos!$F$2:$F$300,"Pendiente"))</f>
        <v/>
      </c>
      <c r="O288" s="12" t="str">
        <f aca="false">IF(A288="","",IF(L288=0,"-",M288/L288*1000))</f>
        <v/>
      </c>
    </row>
    <row r="289" customFormat="false" ht="15" hidden="false" customHeight="fals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0" t="str">
        <f aca="false">IF(A289="","",COUNTIF(Posts!$B$2:$B$300,A289))</f>
        <v/>
      </c>
      <c r="L289" s="10" t="str">
        <f aca="false">IF(A289="","",SUMIF(Posts!$B$2:$B$300,A289,Posts!$F$2:$F$300))</f>
        <v/>
      </c>
      <c r="M289" s="11" t="str">
        <f aca="false">IF(A289="","",SUMIFS(Pagos!$D$2:$D$300,Pagos!$B$2:$B$300,A289,Pagos!$F$2:$F$300,"Pagado"))</f>
        <v/>
      </c>
      <c r="N289" s="11" t="str">
        <f aca="false">IF(A289="","",SUMIFS(Pagos!$D$2:$D$300,Pagos!$B$2:$B$300,A289,Pagos!$F$2:$F$300,"Pendiente"))</f>
        <v/>
      </c>
      <c r="O289" s="12" t="str">
        <f aca="false">IF(A289="","",IF(L289=0,"-",M289/L289*1000))</f>
        <v/>
      </c>
    </row>
    <row r="290" customFormat="false" ht="15" hidden="false" customHeight="fals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0" t="str">
        <f aca="false">IF(A290="","",COUNTIF(Posts!$B$2:$B$300,A290))</f>
        <v/>
      </c>
      <c r="L290" s="10" t="str">
        <f aca="false">IF(A290="","",SUMIF(Posts!$B$2:$B$300,A290,Posts!$F$2:$F$300))</f>
        <v/>
      </c>
      <c r="M290" s="11" t="str">
        <f aca="false">IF(A290="","",SUMIFS(Pagos!$D$2:$D$300,Pagos!$B$2:$B$300,A290,Pagos!$F$2:$F$300,"Pagado"))</f>
        <v/>
      </c>
      <c r="N290" s="11" t="str">
        <f aca="false">IF(A290="","",SUMIFS(Pagos!$D$2:$D$300,Pagos!$B$2:$B$300,A290,Pagos!$F$2:$F$300,"Pendiente"))</f>
        <v/>
      </c>
      <c r="O290" s="12" t="str">
        <f aca="false">IF(A290="","",IF(L290=0,"-",M290/L290*1000))</f>
        <v/>
      </c>
    </row>
    <row r="291" customFormat="false" ht="15" hidden="false" customHeight="fals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0" t="str">
        <f aca="false">IF(A291="","",COUNTIF(Posts!$B$2:$B$300,A291))</f>
        <v/>
      </c>
      <c r="L291" s="10" t="str">
        <f aca="false">IF(A291="","",SUMIF(Posts!$B$2:$B$300,A291,Posts!$F$2:$F$300))</f>
        <v/>
      </c>
      <c r="M291" s="11" t="str">
        <f aca="false">IF(A291="","",SUMIFS(Pagos!$D$2:$D$300,Pagos!$B$2:$B$300,A291,Pagos!$F$2:$F$300,"Pagado"))</f>
        <v/>
      </c>
      <c r="N291" s="11" t="str">
        <f aca="false">IF(A291="","",SUMIFS(Pagos!$D$2:$D$300,Pagos!$B$2:$B$300,A291,Pagos!$F$2:$F$300,"Pendiente"))</f>
        <v/>
      </c>
      <c r="O291" s="12" t="str">
        <f aca="false">IF(A291="","",IF(L291=0,"-",M291/L291*1000))</f>
        <v/>
      </c>
    </row>
    <row r="292" customFormat="false" ht="15" hidden="false" customHeight="fals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0" t="str">
        <f aca="false">IF(A292="","",COUNTIF(Posts!$B$2:$B$300,A292))</f>
        <v/>
      </c>
      <c r="L292" s="10" t="str">
        <f aca="false">IF(A292="","",SUMIF(Posts!$B$2:$B$300,A292,Posts!$F$2:$F$300))</f>
        <v/>
      </c>
      <c r="M292" s="11" t="str">
        <f aca="false">IF(A292="","",SUMIFS(Pagos!$D$2:$D$300,Pagos!$B$2:$B$300,A292,Pagos!$F$2:$F$300,"Pagado"))</f>
        <v/>
      </c>
      <c r="N292" s="11" t="str">
        <f aca="false">IF(A292="","",SUMIFS(Pagos!$D$2:$D$300,Pagos!$B$2:$B$300,A292,Pagos!$F$2:$F$300,"Pendiente"))</f>
        <v/>
      </c>
      <c r="O292" s="12" t="str">
        <f aca="false">IF(A292="","",IF(L292=0,"-",M292/L292*1000))</f>
        <v/>
      </c>
    </row>
    <row r="293" customFormat="false" ht="15" hidden="false" customHeight="fals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0" t="str">
        <f aca="false">IF(A293="","",COUNTIF(Posts!$B$2:$B$300,A293))</f>
        <v/>
      </c>
      <c r="L293" s="10" t="str">
        <f aca="false">IF(A293="","",SUMIF(Posts!$B$2:$B$300,A293,Posts!$F$2:$F$300))</f>
        <v/>
      </c>
      <c r="M293" s="11" t="str">
        <f aca="false">IF(A293="","",SUMIFS(Pagos!$D$2:$D$300,Pagos!$B$2:$B$300,A293,Pagos!$F$2:$F$300,"Pagado"))</f>
        <v/>
      </c>
      <c r="N293" s="11" t="str">
        <f aca="false">IF(A293="","",SUMIFS(Pagos!$D$2:$D$300,Pagos!$B$2:$B$300,A293,Pagos!$F$2:$F$300,"Pendiente"))</f>
        <v/>
      </c>
      <c r="O293" s="12" t="str">
        <f aca="false">IF(A293="","",IF(L293=0,"-",M293/L293*1000))</f>
        <v/>
      </c>
    </row>
    <row r="294" customFormat="false" ht="15" hidden="false" customHeight="fals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0" t="str">
        <f aca="false">IF(A294="","",COUNTIF(Posts!$B$2:$B$300,A294))</f>
        <v/>
      </c>
      <c r="L294" s="10" t="str">
        <f aca="false">IF(A294="","",SUMIF(Posts!$B$2:$B$300,A294,Posts!$F$2:$F$300))</f>
        <v/>
      </c>
      <c r="M294" s="11" t="str">
        <f aca="false">IF(A294="","",SUMIFS(Pagos!$D$2:$D$300,Pagos!$B$2:$B$300,A294,Pagos!$F$2:$F$300,"Pagado"))</f>
        <v/>
      </c>
      <c r="N294" s="11" t="str">
        <f aca="false">IF(A294="","",SUMIFS(Pagos!$D$2:$D$300,Pagos!$B$2:$B$300,A294,Pagos!$F$2:$F$300,"Pendiente"))</f>
        <v/>
      </c>
      <c r="O294" s="12" t="str">
        <f aca="false">IF(A294="","",IF(L294=0,"-",M294/L294*1000))</f>
        <v/>
      </c>
    </row>
    <row r="295" customFormat="false" ht="15" hidden="false" customHeight="fals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0" t="str">
        <f aca="false">IF(A295="","",COUNTIF(Posts!$B$2:$B$300,A295))</f>
        <v/>
      </c>
      <c r="L295" s="10" t="str">
        <f aca="false">IF(A295="","",SUMIF(Posts!$B$2:$B$300,A295,Posts!$F$2:$F$300))</f>
        <v/>
      </c>
      <c r="M295" s="11" t="str">
        <f aca="false">IF(A295="","",SUMIFS(Pagos!$D$2:$D$300,Pagos!$B$2:$B$300,A295,Pagos!$F$2:$F$300,"Pagado"))</f>
        <v/>
      </c>
      <c r="N295" s="11" t="str">
        <f aca="false">IF(A295="","",SUMIFS(Pagos!$D$2:$D$300,Pagos!$B$2:$B$300,A295,Pagos!$F$2:$F$300,"Pendiente"))</f>
        <v/>
      </c>
      <c r="O295" s="12" t="str">
        <f aca="false">IF(A295="","",IF(L295=0,"-",M295/L295*1000))</f>
        <v/>
      </c>
    </row>
    <row r="296" customFormat="false" ht="15" hidden="false" customHeight="fals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0" t="str">
        <f aca="false">IF(A296="","",COUNTIF(Posts!$B$2:$B$300,A296))</f>
        <v/>
      </c>
      <c r="L296" s="10" t="str">
        <f aca="false">IF(A296="","",SUMIF(Posts!$B$2:$B$300,A296,Posts!$F$2:$F$300))</f>
        <v/>
      </c>
      <c r="M296" s="11" t="str">
        <f aca="false">IF(A296="","",SUMIFS(Pagos!$D$2:$D$300,Pagos!$B$2:$B$300,A296,Pagos!$F$2:$F$300,"Pagado"))</f>
        <v/>
      </c>
      <c r="N296" s="11" t="str">
        <f aca="false">IF(A296="","",SUMIFS(Pagos!$D$2:$D$300,Pagos!$B$2:$B$300,A296,Pagos!$F$2:$F$300,"Pendiente"))</f>
        <v/>
      </c>
      <c r="O296" s="12" t="str">
        <f aca="false">IF(A296="","",IF(L296=0,"-",M296/L296*1000))</f>
        <v/>
      </c>
    </row>
    <row r="297" customFormat="false" ht="15" hidden="false" customHeight="fals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0" t="str">
        <f aca="false">IF(A297="","",COUNTIF(Posts!$B$2:$B$300,A297))</f>
        <v/>
      </c>
      <c r="L297" s="10" t="str">
        <f aca="false">IF(A297="","",SUMIF(Posts!$B$2:$B$300,A297,Posts!$F$2:$F$300))</f>
        <v/>
      </c>
      <c r="M297" s="11" t="str">
        <f aca="false">IF(A297="","",SUMIFS(Pagos!$D$2:$D$300,Pagos!$B$2:$B$300,A297,Pagos!$F$2:$F$300,"Pagado"))</f>
        <v/>
      </c>
      <c r="N297" s="11" t="str">
        <f aca="false">IF(A297="","",SUMIFS(Pagos!$D$2:$D$300,Pagos!$B$2:$B$300,A297,Pagos!$F$2:$F$300,"Pendiente"))</f>
        <v/>
      </c>
      <c r="O297" s="12" t="str">
        <f aca="false">IF(A297="","",IF(L297=0,"-",M297/L297*1000))</f>
        <v/>
      </c>
    </row>
    <row r="298" customFormat="false" ht="15" hidden="false" customHeight="fals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0" t="str">
        <f aca="false">IF(A298="","",COUNTIF(Posts!$B$2:$B$300,A298))</f>
        <v/>
      </c>
      <c r="L298" s="10" t="str">
        <f aca="false">IF(A298="","",SUMIF(Posts!$B$2:$B$300,A298,Posts!$F$2:$F$300))</f>
        <v/>
      </c>
      <c r="M298" s="11" t="str">
        <f aca="false">IF(A298="","",SUMIFS(Pagos!$D$2:$D$300,Pagos!$B$2:$B$300,A298,Pagos!$F$2:$F$300,"Pagado"))</f>
        <v/>
      </c>
      <c r="N298" s="11" t="str">
        <f aca="false">IF(A298="","",SUMIFS(Pagos!$D$2:$D$300,Pagos!$B$2:$B$300,A298,Pagos!$F$2:$F$300,"Pendiente"))</f>
        <v/>
      </c>
      <c r="O298" s="12" t="str">
        <f aca="false">IF(A298="","",IF(L298=0,"-",M298/L298*1000))</f>
        <v/>
      </c>
    </row>
    <row r="299" customFormat="false" ht="15" hidden="false" customHeight="fals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0" t="str">
        <f aca="false">IF(A299="","",COUNTIF(Posts!$B$2:$B$300,A299))</f>
        <v/>
      </c>
      <c r="L299" s="10" t="str">
        <f aca="false">IF(A299="","",SUMIF(Posts!$B$2:$B$300,A299,Posts!$F$2:$F$300))</f>
        <v/>
      </c>
      <c r="M299" s="11" t="str">
        <f aca="false">IF(A299="","",SUMIFS(Pagos!$D$2:$D$300,Pagos!$B$2:$B$300,A299,Pagos!$F$2:$F$300,"Pagado"))</f>
        <v/>
      </c>
      <c r="N299" s="11" t="str">
        <f aca="false">IF(A299="","",SUMIFS(Pagos!$D$2:$D$300,Pagos!$B$2:$B$300,A299,Pagos!$F$2:$F$300,"Pendiente"))</f>
        <v/>
      </c>
      <c r="O299" s="12" t="str">
        <f aca="false">IF(A299="","",IF(L299=0,"-",M299/L299*1000))</f>
        <v/>
      </c>
    </row>
    <row r="300" customFormat="false" ht="15" hidden="false" customHeight="fals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0" t="str">
        <f aca="false">IF(A300="","",COUNTIF(Posts!$B$2:$B$300,A300))</f>
        <v/>
      </c>
      <c r="L300" s="10" t="str">
        <f aca="false">IF(A300="","",SUMIF(Posts!$B$2:$B$300,A300,Posts!$F$2:$F$300))</f>
        <v/>
      </c>
      <c r="M300" s="11" t="str">
        <f aca="false">IF(A300="","",SUMIFS(Pagos!$D$2:$D$300,Pagos!$B$2:$B$300,A300,Pagos!$F$2:$F$300,"Pagado"))</f>
        <v/>
      </c>
      <c r="N300" s="11" t="str">
        <f aca="false">IF(A300="","",SUMIFS(Pagos!$D$2:$D$300,Pagos!$B$2:$B$300,A300,Pagos!$F$2:$F$300,"Pendiente"))</f>
        <v/>
      </c>
      <c r="O300" s="12" t="str">
        <f aca="false">IF(A300="","",IF(L300=0,"-",M300/L300*1000))</f>
        <v/>
      </c>
    </row>
  </sheetData>
  <dataValidations count="3">
    <dataValidation allowBlank="true" errorStyle="stop" operator="between" showDropDown="false" showErrorMessage="false" showInputMessage="false" sqref="D2:D300" type="list">
      <formula1>"GenLayer Ambassador,Rally"</formula1>
      <formula2>0</formula2>
    </dataValidation>
    <dataValidation allowBlank="true" errorStyle="stop" operator="between" showDropDown="false" showErrorMessage="false" showInputMessage="false" sqref="E2:E300" type="list">
      <formula1>"Fijo mensual,Por post,Por hilo,Bonus por métricas,Mixto"</formula1>
      <formula2>0</formula2>
    </dataValidation>
    <dataValidation allowBlank="true" errorStyle="stop" operator="between" showDropDown="false" showErrorMessage="false" showInputMessage="false" sqref="H2:H300" type="list">
      <formula1>"Activo,Inactivo"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26"/>
  </cols>
  <sheetData>
    <row r="1" customFormat="false" ht="15" hidden="false" customHeight="false" outlineLevel="0" collapsed="false">
      <c r="A1" s="13" t="s">
        <v>64</v>
      </c>
      <c r="B1" s="13" t="s">
        <v>65</v>
      </c>
      <c r="C1" s="13" t="s">
        <v>66</v>
      </c>
      <c r="D1" s="13" t="s">
        <v>67</v>
      </c>
      <c r="E1" s="13" t="s">
        <v>68</v>
      </c>
      <c r="F1" s="13" t="s">
        <v>28</v>
      </c>
      <c r="G1" s="13" t="s">
        <v>69</v>
      </c>
      <c r="H1" s="13" t="s">
        <v>70</v>
      </c>
      <c r="I1" s="13" t="s">
        <v>71</v>
      </c>
      <c r="J1" s="13" t="s">
        <v>72</v>
      </c>
      <c r="K1" s="13" t="s">
        <v>10</v>
      </c>
    </row>
    <row r="2" customFormat="false" ht="15" hidden="false" customHeight="false" outlineLevel="0" collapsed="false">
      <c r="A2" s="16" t="s">
        <v>73</v>
      </c>
      <c r="B2" s="14" t="s">
        <v>45</v>
      </c>
      <c r="C2" s="9" t="str">
        <f aca="false">IF(B2="","",IFERROR(INDEX(KOLs!$D$2:$D$300,MATCH(B2,KOLs!$A$2:$A$300,0)),"¿KOL no dado de alta?"))</f>
        <v>GenLayer Ambassador</v>
      </c>
      <c r="D2" s="14" t="s">
        <v>74</v>
      </c>
      <c r="E2" s="14" t="s">
        <v>75</v>
      </c>
      <c r="F2" s="18" t="n">
        <v>12400</v>
      </c>
      <c r="G2" s="18" t="n">
        <v>310</v>
      </c>
      <c r="H2" s="18" t="n">
        <v>85</v>
      </c>
      <c r="I2" s="18" t="n">
        <v>40</v>
      </c>
      <c r="J2" s="15" t="n">
        <v>0</v>
      </c>
      <c r="K2" s="14" t="s">
        <v>76</v>
      </c>
    </row>
    <row r="3" customFormat="false" ht="15" hidden="false" customHeight="false" outlineLevel="0" collapsed="false">
      <c r="A3" s="16" t="s">
        <v>77</v>
      </c>
      <c r="B3" s="14" t="s">
        <v>53</v>
      </c>
      <c r="C3" s="9" t="str">
        <f aca="false">IF(B3="","",IFERROR(INDEX(KOLs!$D$2:$D$300,MATCH(B3,KOLs!$A$2:$A$300,0)),"¿KOL no dado de alta?"))</f>
        <v>GenLayer Ambassador</v>
      </c>
      <c r="D3" s="14" t="s">
        <v>78</v>
      </c>
      <c r="E3" s="14" t="s">
        <v>79</v>
      </c>
      <c r="F3" s="18" t="n">
        <v>4300</v>
      </c>
      <c r="G3" s="18" t="n">
        <v>120</v>
      </c>
      <c r="H3" s="18" t="n">
        <v>22</v>
      </c>
      <c r="I3" s="18" t="n">
        <v>9</v>
      </c>
      <c r="J3" s="15" t="n">
        <v>60</v>
      </c>
      <c r="K3" s="14" t="s">
        <v>80</v>
      </c>
    </row>
    <row r="4" customFormat="false" ht="15" hidden="false" customHeight="false" outlineLevel="0" collapsed="false">
      <c r="A4" s="16" t="s">
        <v>81</v>
      </c>
      <c r="B4" s="14" t="s">
        <v>59</v>
      </c>
      <c r="C4" s="9" t="str">
        <f aca="false">IF(B4="","",IFERROR(INDEX(KOLs!$D$2:$D$300,MATCH(B4,KOLs!$A$2:$A$300,0)),"¿KOL no dado de alta?"))</f>
        <v>Rally</v>
      </c>
      <c r="D4" s="14" t="s">
        <v>82</v>
      </c>
      <c r="E4" s="14" t="s">
        <v>79</v>
      </c>
      <c r="F4" s="18" t="n">
        <v>20100</v>
      </c>
      <c r="G4" s="18" t="n">
        <v>540</v>
      </c>
      <c r="H4" s="18" t="n">
        <v>130</v>
      </c>
      <c r="I4" s="18" t="n">
        <v>55</v>
      </c>
      <c r="J4" s="15" t="n">
        <v>0</v>
      </c>
      <c r="K4" s="14" t="s">
        <v>76</v>
      </c>
    </row>
    <row r="5" customFormat="false" ht="15" hidden="false" customHeight="false" outlineLevel="0" collapsed="false">
      <c r="A5" s="16" t="s">
        <v>83</v>
      </c>
      <c r="B5" s="14" t="s">
        <v>45</v>
      </c>
      <c r="C5" s="9" t="str">
        <f aca="false">IF(B5="","",IFERROR(INDEX(KOLs!$D$2:$D$300,MATCH(B5,KOLs!$A$2:$A$300,0)),"¿KOL no dado de alta?"))</f>
        <v>GenLayer Ambassador</v>
      </c>
      <c r="D5" s="14" t="s">
        <v>84</v>
      </c>
      <c r="E5" s="14" t="s">
        <v>85</v>
      </c>
      <c r="F5" s="18" t="n">
        <v>2100</v>
      </c>
      <c r="G5" s="18" t="n">
        <v>60</v>
      </c>
      <c r="H5" s="18" t="n">
        <v>10</v>
      </c>
      <c r="I5" s="18" t="n">
        <v>5</v>
      </c>
      <c r="J5" s="15" t="n">
        <v>0</v>
      </c>
      <c r="K5" s="14" t="s">
        <v>86</v>
      </c>
    </row>
    <row r="6" customFormat="false" ht="15" hidden="false" customHeight="false" outlineLevel="0" collapsed="false">
      <c r="A6" s="16"/>
      <c r="B6" s="14"/>
      <c r="C6" s="9" t="str">
        <f aca="false">IF(B6="","",IFERROR(INDEX(KOLs!$D$2:$D$300,MATCH(B6,KOLs!$A$2:$A$300,0)),"¿KOL no dado de alta?"))</f>
        <v/>
      </c>
      <c r="D6" s="14"/>
      <c r="E6" s="14"/>
      <c r="F6" s="18"/>
      <c r="G6" s="18"/>
      <c r="H6" s="18"/>
      <c r="I6" s="18"/>
      <c r="J6" s="15"/>
      <c r="K6" s="14"/>
    </row>
    <row r="7" customFormat="false" ht="15" hidden="false" customHeight="false" outlineLevel="0" collapsed="false">
      <c r="A7" s="16"/>
      <c r="B7" s="14"/>
      <c r="C7" s="9" t="str">
        <f aca="false">IF(B7="","",IFERROR(INDEX(KOLs!$D$2:$D$300,MATCH(B7,KOLs!$A$2:$A$300,0)),"¿KOL no dado de alta?"))</f>
        <v/>
      </c>
      <c r="D7" s="14"/>
      <c r="E7" s="14"/>
      <c r="F7" s="18"/>
      <c r="G7" s="18"/>
      <c r="H7" s="18"/>
      <c r="I7" s="18"/>
      <c r="J7" s="15"/>
      <c r="K7" s="14"/>
    </row>
    <row r="8" customFormat="false" ht="15" hidden="false" customHeight="false" outlineLevel="0" collapsed="false">
      <c r="A8" s="16"/>
      <c r="B8" s="14"/>
      <c r="C8" s="9" t="str">
        <f aca="false">IF(B8="","",IFERROR(INDEX(KOLs!$D$2:$D$300,MATCH(B8,KOLs!$A$2:$A$300,0)),"¿KOL no dado de alta?"))</f>
        <v/>
      </c>
      <c r="D8" s="14"/>
      <c r="E8" s="14"/>
      <c r="F8" s="18"/>
      <c r="G8" s="18"/>
      <c r="H8" s="18"/>
      <c r="I8" s="18"/>
      <c r="J8" s="15"/>
      <c r="K8" s="14"/>
    </row>
    <row r="9" customFormat="false" ht="15" hidden="false" customHeight="false" outlineLevel="0" collapsed="false">
      <c r="A9" s="16"/>
      <c r="B9" s="14"/>
      <c r="C9" s="9" t="str">
        <f aca="false">IF(B9="","",IFERROR(INDEX(KOLs!$D$2:$D$300,MATCH(B9,KOLs!$A$2:$A$300,0)),"¿KOL no dado de alta?"))</f>
        <v/>
      </c>
      <c r="D9" s="14"/>
      <c r="E9" s="14"/>
      <c r="F9" s="18"/>
      <c r="G9" s="18"/>
      <c r="H9" s="18"/>
      <c r="I9" s="18"/>
      <c r="J9" s="15"/>
      <c r="K9" s="14"/>
    </row>
    <row r="10" customFormat="false" ht="15" hidden="false" customHeight="false" outlineLevel="0" collapsed="false">
      <c r="A10" s="16"/>
      <c r="B10" s="14"/>
      <c r="C10" s="9" t="str">
        <f aca="false">IF(B10="","",IFERROR(INDEX(KOLs!$D$2:$D$300,MATCH(B10,KOLs!$A$2:$A$300,0)),"¿KOL no dado de alta?"))</f>
        <v/>
      </c>
      <c r="D10" s="14"/>
      <c r="E10" s="14"/>
      <c r="F10" s="18"/>
      <c r="G10" s="18"/>
      <c r="H10" s="18"/>
      <c r="I10" s="18"/>
      <c r="J10" s="15"/>
      <c r="K10" s="14"/>
    </row>
    <row r="11" customFormat="false" ht="15" hidden="false" customHeight="false" outlineLevel="0" collapsed="false">
      <c r="A11" s="16"/>
      <c r="B11" s="14"/>
      <c r="C11" s="9" t="str">
        <f aca="false">IF(B11="","",IFERROR(INDEX(KOLs!$D$2:$D$300,MATCH(B11,KOLs!$A$2:$A$300,0)),"¿KOL no dado de alta?"))</f>
        <v/>
      </c>
      <c r="D11" s="14"/>
      <c r="E11" s="14"/>
      <c r="F11" s="18"/>
      <c r="G11" s="18"/>
      <c r="H11" s="18"/>
      <c r="I11" s="18"/>
      <c r="J11" s="15"/>
      <c r="K11" s="14"/>
    </row>
    <row r="12" customFormat="false" ht="15" hidden="false" customHeight="false" outlineLevel="0" collapsed="false">
      <c r="A12" s="16"/>
      <c r="B12" s="14"/>
      <c r="C12" s="9" t="str">
        <f aca="false">IF(B12="","",IFERROR(INDEX(KOLs!$D$2:$D$300,MATCH(B12,KOLs!$A$2:$A$300,0)),"¿KOL no dado de alta?"))</f>
        <v/>
      </c>
      <c r="D12" s="14"/>
      <c r="E12" s="14"/>
      <c r="F12" s="18"/>
      <c r="G12" s="18"/>
      <c r="H12" s="18"/>
      <c r="I12" s="18"/>
      <c r="J12" s="15"/>
      <c r="K12" s="14"/>
    </row>
    <row r="13" customFormat="false" ht="15" hidden="false" customHeight="false" outlineLevel="0" collapsed="false">
      <c r="A13" s="16"/>
      <c r="B13" s="14"/>
      <c r="C13" s="9" t="str">
        <f aca="false">IF(B13="","",IFERROR(INDEX(KOLs!$D$2:$D$300,MATCH(B13,KOLs!$A$2:$A$300,0)),"¿KOL no dado de alta?"))</f>
        <v/>
      </c>
      <c r="D13" s="14"/>
      <c r="E13" s="14"/>
      <c r="F13" s="18"/>
      <c r="G13" s="18"/>
      <c r="H13" s="18"/>
      <c r="I13" s="18"/>
      <c r="J13" s="15"/>
      <c r="K13" s="14"/>
    </row>
    <row r="14" customFormat="false" ht="15" hidden="false" customHeight="false" outlineLevel="0" collapsed="false">
      <c r="A14" s="16"/>
      <c r="B14" s="14"/>
      <c r="C14" s="9" t="str">
        <f aca="false">IF(B14="","",IFERROR(INDEX(KOLs!$D$2:$D$300,MATCH(B14,KOLs!$A$2:$A$300,0)),"¿KOL no dado de alta?"))</f>
        <v/>
      </c>
      <c r="D14" s="14"/>
      <c r="E14" s="14"/>
      <c r="F14" s="18"/>
      <c r="G14" s="18"/>
      <c r="H14" s="18"/>
      <c r="I14" s="18"/>
      <c r="J14" s="15"/>
      <c r="K14" s="14"/>
    </row>
    <row r="15" customFormat="false" ht="15" hidden="false" customHeight="false" outlineLevel="0" collapsed="false">
      <c r="A15" s="16"/>
      <c r="B15" s="14"/>
      <c r="C15" s="9" t="str">
        <f aca="false">IF(B15="","",IFERROR(INDEX(KOLs!$D$2:$D$300,MATCH(B15,KOLs!$A$2:$A$300,0)),"¿KOL no dado de alta?"))</f>
        <v/>
      </c>
      <c r="D15" s="14"/>
      <c r="E15" s="14"/>
      <c r="F15" s="18"/>
      <c r="G15" s="18"/>
      <c r="H15" s="18"/>
      <c r="I15" s="18"/>
      <c r="J15" s="15"/>
      <c r="K15" s="14"/>
    </row>
    <row r="16" customFormat="false" ht="15" hidden="false" customHeight="false" outlineLevel="0" collapsed="false">
      <c r="A16" s="16"/>
      <c r="B16" s="14"/>
      <c r="C16" s="9" t="str">
        <f aca="false">IF(B16="","",IFERROR(INDEX(KOLs!$D$2:$D$300,MATCH(B16,KOLs!$A$2:$A$300,0)),"¿KOL no dado de alta?"))</f>
        <v/>
      </c>
      <c r="D16" s="14"/>
      <c r="E16" s="14"/>
      <c r="F16" s="18"/>
      <c r="G16" s="18"/>
      <c r="H16" s="18"/>
      <c r="I16" s="18"/>
      <c r="J16" s="15"/>
      <c r="K16" s="14"/>
    </row>
    <row r="17" customFormat="false" ht="15" hidden="false" customHeight="false" outlineLevel="0" collapsed="false">
      <c r="A17" s="16"/>
      <c r="B17" s="14"/>
      <c r="C17" s="9" t="str">
        <f aca="false">IF(B17="","",IFERROR(INDEX(KOLs!$D$2:$D$300,MATCH(B17,KOLs!$A$2:$A$300,0)),"¿KOL no dado de alta?"))</f>
        <v/>
      </c>
      <c r="D17" s="14"/>
      <c r="E17" s="14"/>
      <c r="F17" s="18"/>
      <c r="G17" s="18"/>
      <c r="H17" s="18"/>
      <c r="I17" s="18"/>
      <c r="J17" s="15"/>
      <c r="K17" s="14"/>
    </row>
    <row r="18" customFormat="false" ht="15" hidden="false" customHeight="false" outlineLevel="0" collapsed="false">
      <c r="A18" s="16"/>
      <c r="B18" s="14"/>
      <c r="C18" s="9" t="str">
        <f aca="false">IF(B18="","",IFERROR(INDEX(KOLs!$D$2:$D$300,MATCH(B18,KOLs!$A$2:$A$300,0)),"¿KOL no dado de alta?"))</f>
        <v/>
      </c>
      <c r="D18" s="14"/>
      <c r="E18" s="14"/>
      <c r="F18" s="18"/>
      <c r="G18" s="18"/>
      <c r="H18" s="18"/>
      <c r="I18" s="18"/>
      <c r="J18" s="15"/>
      <c r="K18" s="14"/>
    </row>
    <row r="19" customFormat="false" ht="15" hidden="false" customHeight="false" outlineLevel="0" collapsed="false">
      <c r="A19" s="16"/>
      <c r="B19" s="14"/>
      <c r="C19" s="9" t="str">
        <f aca="false">IF(B19="","",IFERROR(INDEX(KOLs!$D$2:$D$300,MATCH(B19,KOLs!$A$2:$A$300,0)),"¿KOL no dado de alta?"))</f>
        <v/>
      </c>
      <c r="D19" s="14"/>
      <c r="E19" s="14"/>
      <c r="F19" s="18"/>
      <c r="G19" s="18"/>
      <c r="H19" s="18"/>
      <c r="I19" s="18"/>
      <c r="J19" s="15"/>
      <c r="K19" s="14"/>
    </row>
    <row r="20" customFormat="false" ht="15" hidden="false" customHeight="false" outlineLevel="0" collapsed="false">
      <c r="A20" s="16"/>
      <c r="B20" s="14"/>
      <c r="C20" s="9" t="str">
        <f aca="false">IF(B20="","",IFERROR(INDEX(KOLs!$D$2:$D$300,MATCH(B20,KOLs!$A$2:$A$300,0)),"¿KOL no dado de alta?"))</f>
        <v/>
      </c>
      <c r="D20" s="14"/>
      <c r="E20" s="14"/>
      <c r="F20" s="18"/>
      <c r="G20" s="18"/>
      <c r="H20" s="18"/>
      <c r="I20" s="18"/>
      <c r="J20" s="15"/>
      <c r="K20" s="14"/>
    </row>
    <row r="21" customFormat="false" ht="15" hidden="false" customHeight="false" outlineLevel="0" collapsed="false">
      <c r="A21" s="16"/>
      <c r="B21" s="14"/>
      <c r="C21" s="9" t="str">
        <f aca="false">IF(B21="","",IFERROR(INDEX(KOLs!$D$2:$D$300,MATCH(B21,KOLs!$A$2:$A$300,0)),"¿KOL no dado de alta?"))</f>
        <v/>
      </c>
      <c r="D21" s="14"/>
      <c r="E21" s="14"/>
      <c r="F21" s="18"/>
      <c r="G21" s="18"/>
      <c r="H21" s="18"/>
      <c r="I21" s="18"/>
      <c r="J21" s="15"/>
      <c r="K21" s="14"/>
    </row>
    <row r="22" customFormat="false" ht="15" hidden="false" customHeight="false" outlineLevel="0" collapsed="false">
      <c r="A22" s="16"/>
      <c r="B22" s="14"/>
      <c r="C22" s="9" t="str">
        <f aca="false">IF(B22="","",IFERROR(INDEX(KOLs!$D$2:$D$300,MATCH(B22,KOLs!$A$2:$A$300,0)),"¿KOL no dado de alta?"))</f>
        <v/>
      </c>
      <c r="D22" s="14"/>
      <c r="E22" s="14"/>
      <c r="F22" s="18"/>
      <c r="G22" s="18"/>
      <c r="H22" s="18"/>
      <c r="I22" s="18"/>
      <c r="J22" s="15"/>
      <c r="K22" s="14"/>
    </row>
    <row r="23" customFormat="false" ht="15" hidden="false" customHeight="false" outlineLevel="0" collapsed="false">
      <c r="A23" s="16"/>
      <c r="B23" s="14"/>
      <c r="C23" s="9" t="str">
        <f aca="false">IF(B23="","",IFERROR(INDEX(KOLs!$D$2:$D$300,MATCH(B23,KOLs!$A$2:$A$300,0)),"¿KOL no dado de alta?"))</f>
        <v/>
      </c>
      <c r="D23" s="14"/>
      <c r="E23" s="14"/>
      <c r="F23" s="18"/>
      <c r="G23" s="18"/>
      <c r="H23" s="18"/>
      <c r="I23" s="18"/>
      <c r="J23" s="15"/>
      <c r="K23" s="14"/>
    </row>
    <row r="24" customFormat="false" ht="15" hidden="false" customHeight="false" outlineLevel="0" collapsed="false">
      <c r="A24" s="16"/>
      <c r="B24" s="14"/>
      <c r="C24" s="9" t="str">
        <f aca="false">IF(B24="","",IFERROR(INDEX(KOLs!$D$2:$D$300,MATCH(B24,KOLs!$A$2:$A$300,0)),"¿KOL no dado de alta?"))</f>
        <v/>
      </c>
      <c r="D24" s="14"/>
      <c r="E24" s="14"/>
      <c r="F24" s="18"/>
      <c r="G24" s="18"/>
      <c r="H24" s="18"/>
      <c r="I24" s="18"/>
      <c r="J24" s="15"/>
      <c r="K24" s="14"/>
    </row>
    <row r="25" customFormat="false" ht="15" hidden="false" customHeight="false" outlineLevel="0" collapsed="false">
      <c r="A25" s="16"/>
      <c r="B25" s="14"/>
      <c r="C25" s="9" t="str">
        <f aca="false">IF(B25="","",IFERROR(INDEX(KOLs!$D$2:$D$300,MATCH(B25,KOLs!$A$2:$A$300,0)),"¿KOL no dado de alta?"))</f>
        <v/>
      </c>
      <c r="D25" s="14"/>
      <c r="E25" s="14"/>
      <c r="F25" s="18"/>
      <c r="G25" s="18"/>
      <c r="H25" s="18"/>
      <c r="I25" s="18"/>
      <c r="J25" s="15"/>
      <c r="K25" s="14"/>
    </row>
    <row r="26" customFormat="false" ht="15" hidden="false" customHeight="false" outlineLevel="0" collapsed="false">
      <c r="A26" s="16"/>
      <c r="B26" s="14"/>
      <c r="C26" s="9" t="str">
        <f aca="false">IF(B26="","",IFERROR(INDEX(KOLs!$D$2:$D$300,MATCH(B26,KOLs!$A$2:$A$300,0)),"¿KOL no dado de alta?"))</f>
        <v/>
      </c>
      <c r="D26" s="14"/>
      <c r="E26" s="14"/>
      <c r="F26" s="18"/>
      <c r="G26" s="18"/>
      <c r="H26" s="18"/>
      <c r="I26" s="18"/>
      <c r="J26" s="15"/>
      <c r="K26" s="14"/>
    </row>
    <row r="27" customFormat="false" ht="15" hidden="false" customHeight="false" outlineLevel="0" collapsed="false">
      <c r="A27" s="16"/>
      <c r="B27" s="14"/>
      <c r="C27" s="9" t="str">
        <f aca="false">IF(B27="","",IFERROR(INDEX(KOLs!$D$2:$D$300,MATCH(B27,KOLs!$A$2:$A$300,0)),"¿KOL no dado de alta?"))</f>
        <v/>
      </c>
      <c r="D27" s="14"/>
      <c r="E27" s="14"/>
      <c r="F27" s="18"/>
      <c r="G27" s="18"/>
      <c r="H27" s="18"/>
      <c r="I27" s="18"/>
      <c r="J27" s="15"/>
      <c r="K27" s="14"/>
    </row>
    <row r="28" customFormat="false" ht="15" hidden="false" customHeight="false" outlineLevel="0" collapsed="false">
      <c r="A28" s="16"/>
      <c r="B28" s="14"/>
      <c r="C28" s="9" t="str">
        <f aca="false">IF(B28="","",IFERROR(INDEX(KOLs!$D$2:$D$300,MATCH(B28,KOLs!$A$2:$A$300,0)),"¿KOL no dado de alta?"))</f>
        <v/>
      </c>
      <c r="D28" s="14"/>
      <c r="E28" s="14"/>
      <c r="F28" s="18"/>
      <c r="G28" s="18"/>
      <c r="H28" s="18"/>
      <c r="I28" s="18"/>
      <c r="J28" s="15"/>
      <c r="K28" s="14"/>
    </row>
    <row r="29" customFormat="false" ht="15" hidden="false" customHeight="false" outlineLevel="0" collapsed="false">
      <c r="A29" s="16"/>
      <c r="B29" s="14"/>
      <c r="C29" s="9" t="str">
        <f aca="false">IF(B29="","",IFERROR(INDEX(KOLs!$D$2:$D$300,MATCH(B29,KOLs!$A$2:$A$300,0)),"¿KOL no dado de alta?"))</f>
        <v/>
      </c>
      <c r="D29" s="14"/>
      <c r="E29" s="14"/>
      <c r="F29" s="18"/>
      <c r="G29" s="18"/>
      <c r="H29" s="18"/>
      <c r="I29" s="18"/>
      <c r="J29" s="15"/>
      <c r="K29" s="14"/>
    </row>
    <row r="30" customFormat="false" ht="15" hidden="false" customHeight="false" outlineLevel="0" collapsed="false">
      <c r="A30" s="16"/>
      <c r="B30" s="14"/>
      <c r="C30" s="9" t="str">
        <f aca="false">IF(B30="","",IFERROR(INDEX(KOLs!$D$2:$D$300,MATCH(B30,KOLs!$A$2:$A$300,0)),"¿KOL no dado de alta?"))</f>
        <v/>
      </c>
      <c r="D30" s="14"/>
      <c r="E30" s="14"/>
      <c r="F30" s="18"/>
      <c r="G30" s="18"/>
      <c r="H30" s="18"/>
      <c r="I30" s="18"/>
      <c r="J30" s="15"/>
      <c r="K30" s="14"/>
    </row>
    <row r="31" customFormat="false" ht="15" hidden="false" customHeight="false" outlineLevel="0" collapsed="false">
      <c r="A31" s="16"/>
      <c r="B31" s="14"/>
      <c r="C31" s="9" t="str">
        <f aca="false">IF(B31="","",IFERROR(INDEX(KOLs!$D$2:$D$300,MATCH(B31,KOLs!$A$2:$A$300,0)),"¿KOL no dado de alta?"))</f>
        <v/>
      </c>
      <c r="D31" s="14"/>
      <c r="E31" s="14"/>
      <c r="F31" s="18"/>
      <c r="G31" s="18"/>
      <c r="H31" s="18"/>
      <c r="I31" s="18"/>
      <c r="J31" s="15"/>
      <c r="K31" s="14"/>
    </row>
    <row r="32" customFormat="false" ht="15" hidden="false" customHeight="false" outlineLevel="0" collapsed="false">
      <c r="A32" s="16"/>
      <c r="B32" s="14"/>
      <c r="C32" s="9" t="str">
        <f aca="false">IF(B32="","",IFERROR(INDEX(KOLs!$D$2:$D$300,MATCH(B32,KOLs!$A$2:$A$300,0)),"¿KOL no dado de alta?"))</f>
        <v/>
      </c>
      <c r="D32" s="14"/>
      <c r="E32" s="14"/>
      <c r="F32" s="18"/>
      <c r="G32" s="18"/>
      <c r="H32" s="18"/>
      <c r="I32" s="18"/>
      <c r="J32" s="15"/>
      <c r="K32" s="14"/>
    </row>
    <row r="33" customFormat="false" ht="15" hidden="false" customHeight="false" outlineLevel="0" collapsed="false">
      <c r="A33" s="16"/>
      <c r="B33" s="14"/>
      <c r="C33" s="9" t="str">
        <f aca="false">IF(B33="","",IFERROR(INDEX(KOLs!$D$2:$D$300,MATCH(B33,KOLs!$A$2:$A$300,0)),"¿KOL no dado de alta?"))</f>
        <v/>
      </c>
      <c r="D33" s="14"/>
      <c r="E33" s="14"/>
      <c r="F33" s="18"/>
      <c r="G33" s="18"/>
      <c r="H33" s="18"/>
      <c r="I33" s="18"/>
      <c r="J33" s="15"/>
      <c r="K33" s="14"/>
    </row>
    <row r="34" customFormat="false" ht="15" hidden="false" customHeight="false" outlineLevel="0" collapsed="false">
      <c r="A34" s="16"/>
      <c r="B34" s="14"/>
      <c r="C34" s="9" t="str">
        <f aca="false">IF(B34="","",IFERROR(INDEX(KOLs!$D$2:$D$300,MATCH(B34,KOLs!$A$2:$A$300,0)),"¿KOL no dado de alta?"))</f>
        <v/>
      </c>
      <c r="D34" s="14"/>
      <c r="E34" s="14"/>
      <c r="F34" s="18"/>
      <c r="G34" s="18"/>
      <c r="H34" s="18"/>
      <c r="I34" s="18"/>
      <c r="J34" s="15"/>
      <c r="K34" s="14"/>
    </row>
    <row r="35" customFormat="false" ht="15" hidden="false" customHeight="false" outlineLevel="0" collapsed="false">
      <c r="A35" s="16"/>
      <c r="B35" s="14"/>
      <c r="C35" s="9" t="str">
        <f aca="false">IF(B35="","",IFERROR(INDEX(KOLs!$D$2:$D$300,MATCH(B35,KOLs!$A$2:$A$300,0)),"¿KOL no dado de alta?"))</f>
        <v/>
      </c>
      <c r="D35" s="14"/>
      <c r="E35" s="14"/>
      <c r="F35" s="18"/>
      <c r="G35" s="18"/>
      <c r="H35" s="18"/>
      <c r="I35" s="18"/>
      <c r="J35" s="15"/>
      <c r="K35" s="14"/>
    </row>
    <row r="36" customFormat="false" ht="15" hidden="false" customHeight="false" outlineLevel="0" collapsed="false">
      <c r="A36" s="16"/>
      <c r="B36" s="14"/>
      <c r="C36" s="9" t="str">
        <f aca="false">IF(B36="","",IFERROR(INDEX(KOLs!$D$2:$D$300,MATCH(B36,KOLs!$A$2:$A$300,0)),"¿KOL no dado de alta?"))</f>
        <v/>
      </c>
      <c r="D36" s="14"/>
      <c r="E36" s="14"/>
      <c r="F36" s="18"/>
      <c r="G36" s="18"/>
      <c r="H36" s="18"/>
      <c r="I36" s="18"/>
      <c r="J36" s="15"/>
      <c r="K36" s="14"/>
    </row>
    <row r="37" customFormat="false" ht="15" hidden="false" customHeight="false" outlineLevel="0" collapsed="false">
      <c r="A37" s="16"/>
      <c r="B37" s="14"/>
      <c r="C37" s="9" t="str">
        <f aca="false">IF(B37="","",IFERROR(INDEX(KOLs!$D$2:$D$300,MATCH(B37,KOLs!$A$2:$A$300,0)),"¿KOL no dado de alta?"))</f>
        <v/>
      </c>
      <c r="D37" s="14"/>
      <c r="E37" s="14"/>
      <c r="F37" s="18"/>
      <c r="G37" s="18"/>
      <c r="H37" s="18"/>
      <c r="I37" s="18"/>
      <c r="J37" s="15"/>
      <c r="K37" s="14"/>
    </row>
    <row r="38" customFormat="false" ht="15" hidden="false" customHeight="false" outlineLevel="0" collapsed="false">
      <c r="A38" s="16"/>
      <c r="B38" s="14"/>
      <c r="C38" s="9" t="str">
        <f aca="false">IF(B38="","",IFERROR(INDEX(KOLs!$D$2:$D$300,MATCH(B38,KOLs!$A$2:$A$300,0)),"¿KOL no dado de alta?"))</f>
        <v/>
      </c>
      <c r="D38" s="14"/>
      <c r="E38" s="14"/>
      <c r="F38" s="18"/>
      <c r="G38" s="18"/>
      <c r="H38" s="18"/>
      <c r="I38" s="18"/>
      <c r="J38" s="15"/>
      <c r="K38" s="14"/>
    </row>
    <row r="39" customFormat="false" ht="15" hidden="false" customHeight="false" outlineLevel="0" collapsed="false">
      <c r="A39" s="16"/>
      <c r="B39" s="14"/>
      <c r="C39" s="9" t="str">
        <f aca="false">IF(B39="","",IFERROR(INDEX(KOLs!$D$2:$D$300,MATCH(B39,KOLs!$A$2:$A$300,0)),"¿KOL no dado de alta?"))</f>
        <v/>
      </c>
      <c r="D39" s="14"/>
      <c r="E39" s="14"/>
      <c r="F39" s="18"/>
      <c r="G39" s="18"/>
      <c r="H39" s="18"/>
      <c r="I39" s="18"/>
      <c r="J39" s="15"/>
      <c r="K39" s="14"/>
    </row>
    <row r="40" customFormat="false" ht="15" hidden="false" customHeight="false" outlineLevel="0" collapsed="false">
      <c r="A40" s="16"/>
      <c r="B40" s="14"/>
      <c r="C40" s="9" t="str">
        <f aca="false">IF(B40="","",IFERROR(INDEX(KOLs!$D$2:$D$300,MATCH(B40,KOLs!$A$2:$A$300,0)),"¿KOL no dado de alta?"))</f>
        <v/>
      </c>
      <c r="D40" s="14"/>
      <c r="E40" s="14"/>
      <c r="F40" s="18"/>
      <c r="G40" s="18"/>
      <c r="H40" s="18"/>
      <c r="I40" s="18"/>
      <c r="J40" s="15"/>
      <c r="K40" s="14"/>
    </row>
    <row r="41" customFormat="false" ht="15" hidden="false" customHeight="false" outlineLevel="0" collapsed="false">
      <c r="A41" s="16"/>
      <c r="B41" s="14"/>
      <c r="C41" s="9" t="str">
        <f aca="false">IF(B41="","",IFERROR(INDEX(KOLs!$D$2:$D$300,MATCH(B41,KOLs!$A$2:$A$300,0)),"¿KOL no dado de alta?"))</f>
        <v/>
      </c>
      <c r="D41" s="14"/>
      <c r="E41" s="14"/>
      <c r="F41" s="18"/>
      <c r="G41" s="18"/>
      <c r="H41" s="18"/>
      <c r="I41" s="18"/>
      <c r="J41" s="15"/>
      <c r="K41" s="14"/>
    </row>
    <row r="42" customFormat="false" ht="15" hidden="false" customHeight="false" outlineLevel="0" collapsed="false">
      <c r="A42" s="16"/>
      <c r="B42" s="14"/>
      <c r="C42" s="9" t="str">
        <f aca="false">IF(B42="","",IFERROR(INDEX(KOLs!$D$2:$D$300,MATCH(B42,KOLs!$A$2:$A$300,0)),"¿KOL no dado de alta?"))</f>
        <v/>
      </c>
      <c r="D42" s="14"/>
      <c r="E42" s="14"/>
      <c r="F42" s="18"/>
      <c r="G42" s="18"/>
      <c r="H42" s="18"/>
      <c r="I42" s="18"/>
      <c r="J42" s="15"/>
      <c r="K42" s="14"/>
    </row>
    <row r="43" customFormat="false" ht="15" hidden="false" customHeight="false" outlineLevel="0" collapsed="false">
      <c r="A43" s="16"/>
      <c r="B43" s="14"/>
      <c r="C43" s="9" t="str">
        <f aca="false">IF(B43="","",IFERROR(INDEX(KOLs!$D$2:$D$300,MATCH(B43,KOLs!$A$2:$A$300,0)),"¿KOL no dado de alta?"))</f>
        <v/>
      </c>
      <c r="D43" s="14"/>
      <c r="E43" s="14"/>
      <c r="F43" s="18"/>
      <c r="G43" s="18"/>
      <c r="H43" s="18"/>
      <c r="I43" s="18"/>
      <c r="J43" s="15"/>
      <c r="K43" s="14"/>
    </row>
    <row r="44" customFormat="false" ht="15" hidden="false" customHeight="false" outlineLevel="0" collapsed="false">
      <c r="A44" s="16"/>
      <c r="B44" s="14"/>
      <c r="C44" s="9" t="str">
        <f aca="false">IF(B44="","",IFERROR(INDEX(KOLs!$D$2:$D$300,MATCH(B44,KOLs!$A$2:$A$300,0)),"¿KOL no dado de alta?"))</f>
        <v/>
      </c>
      <c r="D44" s="14"/>
      <c r="E44" s="14"/>
      <c r="F44" s="18"/>
      <c r="G44" s="18"/>
      <c r="H44" s="18"/>
      <c r="I44" s="18"/>
      <c r="J44" s="15"/>
      <c r="K44" s="14"/>
    </row>
    <row r="45" customFormat="false" ht="15" hidden="false" customHeight="false" outlineLevel="0" collapsed="false">
      <c r="A45" s="16"/>
      <c r="B45" s="14"/>
      <c r="C45" s="9" t="str">
        <f aca="false">IF(B45="","",IFERROR(INDEX(KOLs!$D$2:$D$300,MATCH(B45,KOLs!$A$2:$A$300,0)),"¿KOL no dado de alta?"))</f>
        <v/>
      </c>
      <c r="D45" s="14"/>
      <c r="E45" s="14"/>
      <c r="F45" s="18"/>
      <c r="G45" s="18"/>
      <c r="H45" s="18"/>
      <c r="I45" s="18"/>
      <c r="J45" s="15"/>
      <c r="K45" s="14"/>
    </row>
    <row r="46" customFormat="false" ht="15" hidden="false" customHeight="false" outlineLevel="0" collapsed="false">
      <c r="A46" s="16"/>
      <c r="B46" s="14"/>
      <c r="C46" s="9" t="str">
        <f aca="false">IF(B46="","",IFERROR(INDEX(KOLs!$D$2:$D$300,MATCH(B46,KOLs!$A$2:$A$300,0)),"¿KOL no dado de alta?"))</f>
        <v/>
      </c>
      <c r="D46" s="14"/>
      <c r="E46" s="14"/>
      <c r="F46" s="18"/>
      <c r="G46" s="18"/>
      <c r="H46" s="18"/>
      <c r="I46" s="18"/>
      <c r="J46" s="15"/>
      <c r="K46" s="14"/>
    </row>
    <row r="47" customFormat="false" ht="15" hidden="false" customHeight="false" outlineLevel="0" collapsed="false">
      <c r="A47" s="16"/>
      <c r="B47" s="14"/>
      <c r="C47" s="9" t="str">
        <f aca="false">IF(B47="","",IFERROR(INDEX(KOLs!$D$2:$D$300,MATCH(B47,KOLs!$A$2:$A$300,0)),"¿KOL no dado de alta?"))</f>
        <v/>
      </c>
      <c r="D47" s="14"/>
      <c r="E47" s="14"/>
      <c r="F47" s="18"/>
      <c r="G47" s="18"/>
      <c r="H47" s="18"/>
      <c r="I47" s="18"/>
      <c r="J47" s="15"/>
      <c r="K47" s="14"/>
    </row>
    <row r="48" customFormat="false" ht="15" hidden="false" customHeight="false" outlineLevel="0" collapsed="false">
      <c r="A48" s="16"/>
      <c r="B48" s="14"/>
      <c r="C48" s="9" t="str">
        <f aca="false">IF(B48="","",IFERROR(INDEX(KOLs!$D$2:$D$300,MATCH(B48,KOLs!$A$2:$A$300,0)),"¿KOL no dado de alta?"))</f>
        <v/>
      </c>
      <c r="D48" s="14"/>
      <c r="E48" s="14"/>
      <c r="F48" s="18"/>
      <c r="G48" s="18"/>
      <c r="H48" s="18"/>
      <c r="I48" s="18"/>
      <c r="J48" s="15"/>
      <c r="K48" s="14"/>
    </row>
    <row r="49" customFormat="false" ht="15" hidden="false" customHeight="false" outlineLevel="0" collapsed="false">
      <c r="A49" s="16"/>
      <c r="B49" s="14"/>
      <c r="C49" s="9" t="str">
        <f aca="false">IF(B49="","",IFERROR(INDEX(KOLs!$D$2:$D$300,MATCH(B49,KOLs!$A$2:$A$300,0)),"¿KOL no dado de alta?"))</f>
        <v/>
      </c>
      <c r="D49" s="14"/>
      <c r="E49" s="14"/>
      <c r="F49" s="18"/>
      <c r="G49" s="18"/>
      <c r="H49" s="18"/>
      <c r="I49" s="18"/>
      <c r="J49" s="15"/>
      <c r="K49" s="14"/>
    </row>
    <row r="50" customFormat="false" ht="15" hidden="false" customHeight="false" outlineLevel="0" collapsed="false">
      <c r="A50" s="16"/>
      <c r="B50" s="14"/>
      <c r="C50" s="9" t="str">
        <f aca="false">IF(B50="","",IFERROR(INDEX(KOLs!$D$2:$D$300,MATCH(B50,KOLs!$A$2:$A$300,0)),"¿KOL no dado de alta?"))</f>
        <v/>
      </c>
      <c r="D50" s="14"/>
      <c r="E50" s="14"/>
      <c r="F50" s="18"/>
      <c r="G50" s="18"/>
      <c r="H50" s="18"/>
      <c r="I50" s="18"/>
      <c r="J50" s="15"/>
      <c r="K50" s="14"/>
    </row>
    <row r="51" customFormat="false" ht="15" hidden="false" customHeight="false" outlineLevel="0" collapsed="false">
      <c r="A51" s="16"/>
      <c r="B51" s="14"/>
      <c r="C51" s="9" t="str">
        <f aca="false">IF(B51="","",IFERROR(INDEX(KOLs!$D$2:$D$300,MATCH(B51,KOLs!$A$2:$A$300,0)),"¿KOL no dado de alta?"))</f>
        <v/>
      </c>
      <c r="D51" s="14"/>
      <c r="E51" s="14"/>
      <c r="F51" s="18"/>
      <c r="G51" s="18"/>
      <c r="H51" s="18"/>
      <c r="I51" s="18"/>
      <c r="J51" s="15"/>
      <c r="K51" s="14"/>
    </row>
    <row r="52" customFormat="false" ht="15" hidden="false" customHeight="false" outlineLevel="0" collapsed="false">
      <c r="A52" s="16"/>
      <c r="B52" s="14"/>
      <c r="C52" s="9" t="str">
        <f aca="false">IF(B52="","",IFERROR(INDEX(KOLs!$D$2:$D$300,MATCH(B52,KOLs!$A$2:$A$300,0)),"¿KOL no dado de alta?"))</f>
        <v/>
      </c>
      <c r="D52" s="14"/>
      <c r="E52" s="14"/>
      <c r="F52" s="18"/>
      <c r="G52" s="18"/>
      <c r="H52" s="18"/>
      <c r="I52" s="18"/>
      <c r="J52" s="15"/>
      <c r="K52" s="14"/>
    </row>
    <row r="53" customFormat="false" ht="15" hidden="false" customHeight="false" outlineLevel="0" collapsed="false">
      <c r="A53" s="16"/>
      <c r="B53" s="14"/>
      <c r="C53" s="9" t="str">
        <f aca="false">IF(B53="","",IFERROR(INDEX(KOLs!$D$2:$D$300,MATCH(B53,KOLs!$A$2:$A$300,0)),"¿KOL no dado de alta?"))</f>
        <v/>
      </c>
      <c r="D53" s="14"/>
      <c r="E53" s="14"/>
      <c r="F53" s="18"/>
      <c r="G53" s="18"/>
      <c r="H53" s="18"/>
      <c r="I53" s="18"/>
      <c r="J53" s="15"/>
      <c r="K53" s="14"/>
    </row>
    <row r="54" customFormat="false" ht="15" hidden="false" customHeight="false" outlineLevel="0" collapsed="false">
      <c r="A54" s="16"/>
      <c r="B54" s="14"/>
      <c r="C54" s="9" t="str">
        <f aca="false">IF(B54="","",IFERROR(INDEX(KOLs!$D$2:$D$300,MATCH(B54,KOLs!$A$2:$A$300,0)),"¿KOL no dado de alta?"))</f>
        <v/>
      </c>
      <c r="D54" s="14"/>
      <c r="E54" s="14"/>
      <c r="F54" s="18"/>
      <c r="G54" s="18"/>
      <c r="H54" s="18"/>
      <c r="I54" s="18"/>
      <c r="J54" s="15"/>
      <c r="K54" s="14"/>
    </row>
    <row r="55" customFormat="false" ht="15" hidden="false" customHeight="false" outlineLevel="0" collapsed="false">
      <c r="A55" s="16"/>
      <c r="B55" s="14"/>
      <c r="C55" s="9" t="str">
        <f aca="false">IF(B55="","",IFERROR(INDEX(KOLs!$D$2:$D$300,MATCH(B55,KOLs!$A$2:$A$300,0)),"¿KOL no dado de alta?"))</f>
        <v/>
      </c>
      <c r="D55" s="14"/>
      <c r="E55" s="14"/>
      <c r="F55" s="18"/>
      <c r="G55" s="18"/>
      <c r="H55" s="18"/>
      <c r="I55" s="18"/>
      <c r="J55" s="15"/>
      <c r="K55" s="14"/>
    </row>
    <row r="56" customFormat="false" ht="15" hidden="false" customHeight="false" outlineLevel="0" collapsed="false">
      <c r="A56" s="16"/>
      <c r="B56" s="14"/>
      <c r="C56" s="9" t="str">
        <f aca="false">IF(B56="","",IFERROR(INDEX(KOLs!$D$2:$D$300,MATCH(B56,KOLs!$A$2:$A$300,0)),"¿KOL no dado de alta?"))</f>
        <v/>
      </c>
      <c r="D56" s="14"/>
      <c r="E56" s="14"/>
      <c r="F56" s="18"/>
      <c r="G56" s="18"/>
      <c r="H56" s="18"/>
      <c r="I56" s="18"/>
      <c r="J56" s="15"/>
      <c r="K56" s="14"/>
    </row>
    <row r="57" customFormat="false" ht="15" hidden="false" customHeight="false" outlineLevel="0" collapsed="false">
      <c r="A57" s="16"/>
      <c r="B57" s="14"/>
      <c r="C57" s="9" t="str">
        <f aca="false">IF(B57="","",IFERROR(INDEX(KOLs!$D$2:$D$300,MATCH(B57,KOLs!$A$2:$A$300,0)),"¿KOL no dado de alta?"))</f>
        <v/>
      </c>
      <c r="D57" s="14"/>
      <c r="E57" s="14"/>
      <c r="F57" s="18"/>
      <c r="G57" s="18"/>
      <c r="H57" s="18"/>
      <c r="I57" s="18"/>
      <c r="J57" s="15"/>
      <c r="K57" s="14"/>
    </row>
    <row r="58" customFormat="false" ht="15" hidden="false" customHeight="false" outlineLevel="0" collapsed="false">
      <c r="A58" s="16"/>
      <c r="B58" s="14"/>
      <c r="C58" s="9" t="str">
        <f aca="false">IF(B58="","",IFERROR(INDEX(KOLs!$D$2:$D$300,MATCH(B58,KOLs!$A$2:$A$300,0)),"¿KOL no dado de alta?"))</f>
        <v/>
      </c>
      <c r="D58" s="14"/>
      <c r="E58" s="14"/>
      <c r="F58" s="18"/>
      <c r="G58" s="18"/>
      <c r="H58" s="18"/>
      <c r="I58" s="18"/>
      <c r="J58" s="15"/>
      <c r="K58" s="14"/>
    </row>
    <row r="59" customFormat="false" ht="15" hidden="false" customHeight="false" outlineLevel="0" collapsed="false">
      <c r="A59" s="16"/>
      <c r="B59" s="14"/>
      <c r="C59" s="9" t="str">
        <f aca="false">IF(B59="","",IFERROR(INDEX(KOLs!$D$2:$D$300,MATCH(B59,KOLs!$A$2:$A$300,0)),"¿KOL no dado de alta?"))</f>
        <v/>
      </c>
      <c r="D59" s="14"/>
      <c r="E59" s="14"/>
      <c r="F59" s="18"/>
      <c r="G59" s="18"/>
      <c r="H59" s="18"/>
      <c r="I59" s="18"/>
      <c r="J59" s="15"/>
      <c r="K59" s="14"/>
    </row>
    <row r="60" customFormat="false" ht="15" hidden="false" customHeight="false" outlineLevel="0" collapsed="false">
      <c r="A60" s="16"/>
      <c r="B60" s="14"/>
      <c r="C60" s="9" t="str">
        <f aca="false">IF(B60="","",IFERROR(INDEX(KOLs!$D$2:$D$300,MATCH(B60,KOLs!$A$2:$A$300,0)),"¿KOL no dado de alta?"))</f>
        <v/>
      </c>
      <c r="D60" s="14"/>
      <c r="E60" s="14"/>
      <c r="F60" s="18"/>
      <c r="G60" s="18"/>
      <c r="H60" s="18"/>
      <c r="I60" s="18"/>
      <c r="J60" s="15"/>
      <c r="K60" s="14"/>
    </row>
    <row r="61" customFormat="false" ht="15" hidden="false" customHeight="false" outlineLevel="0" collapsed="false">
      <c r="A61" s="16"/>
      <c r="B61" s="14"/>
      <c r="C61" s="9" t="str">
        <f aca="false">IF(B61="","",IFERROR(INDEX(KOLs!$D$2:$D$300,MATCH(B61,KOLs!$A$2:$A$300,0)),"¿KOL no dado de alta?"))</f>
        <v/>
      </c>
      <c r="D61" s="14"/>
      <c r="E61" s="14"/>
      <c r="F61" s="18"/>
      <c r="G61" s="18"/>
      <c r="H61" s="18"/>
      <c r="I61" s="18"/>
      <c r="J61" s="15"/>
      <c r="K61" s="14"/>
    </row>
    <row r="62" customFormat="false" ht="15" hidden="false" customHeight="false" outlineLevel="0" collapsed="false">
      <c r="A62" s="16"/>
      <c r="B62" s="14"/>
      <c r="C62" s="9" t="str">
        <f aca="false">IF(B62="","",IFERROR(INDEX(KOLs!$D$2:$D$300,MATCH(B62,KOLs!$A$2:$A$300,0)),"¿KOL no dado de alta?"))</f>
        <v/>
      </c>
      <c r="D62" s="14"/>
      <c r="E62" s="14"/>
      <c r="F62" s="18"/>
      <c r="G62" s="18"/>
      <c r="H62" s="18"/>
      <c r="I62" s="18"/>
      <c r="J62" s="15"/>
      <c r="K62" s="14"/>
    </row>
    <row r="63" customFormat="false" ht="15" hidden="false" customHeight="false" outlineLevel="0" collapsed="false">
      <c r="A63" s="16"/>
      <c r="B63" s="14"/>
      <c r="C63" s="9" t="str">
        <f aca="false">IF(B63="","",IFERROR(INDEX(KOLs!$D$2:$D$300,MATCH(B63,KOLs!$A$2:$A$300,0)),"¿KOL no dado de alta?"))</f>
        <v/>
      </c>
      <c r="D63" s="14"/>
      <c r="E63" s="14"/>
      <c r="F63" s="18"/>
      <c r="G63" s="18"/>
      <c r="H63" s="18"/>
      <c r="I63" s="18"/>
      <c r="J63" s="15"/>
      <c r="K63" s="14"/>
    </row>
    <row r="64" customFormat="false" ht="15" hidden="false" customHeight="false" outlineLevel="0" collapsed="false">
      <c r="A64" s="16"/>
      <c r="B64" s="14"/>
      <c r="C64" s="9" t="str">
        <f aca="false">IF(B64="","",IFERROR(INDEX(KOLs!$D$2:$D$300,MATCH(B64,KOLs!$A$2:$A$300,0)),"¿KOL no dado de alta?"))</f>
        <v/>
      </c>
      <c r="D64" s="14"/>
      <c r="E64" s="14"/>
      <c r="F64" s="18"/>
      <c r="G64" s="18"/>
      <c r="H64" s="18"/>
      <c r="I64" s="18"/>
      <c r="J64" s="15"/>
      <c r="K64" s="14"/>
    </row>
    <row r="65" customFormat="false" ht="15" hidden="false" customHeight="false" outlineLevel="0" collapsed="false">
      <c r="A65" s="16"/>
      <c r="B65" s="14"/>
      <c r="C65" s="9" t="str">
        <f aca="false">IF(B65="","",IFERROR(INDEX(KOLs!$D$2:$D$300,MATCH(B65,KOLs!$A$2:$A$300,0)),"¿KOL no dado de alta?"))</f>
        <v/>
      </c>
      <c r="D65" s="14"/>
      <c r="E65" s="14"/>
      <c r="F65" s="18"/>
      <c r="G65" s="18"/>
      <c r="H65" s="18"/>
      <c r="I65" s="18"/>
      <c r="J65" s="15"/>
      <c r="K65" s="14"/>
    </row>
    <row r="66" customFormat="false" ht="15" hidden="false" customHeight="false" outlineLevel="0" collapsed="false">
      <c r="A66" s="16"/>
      <c r="B66" s="14"/>
      <c r="C66" s="9" t="str">
        <f aca="false">IF(B66="","",IFERROR(INDEX(KOLs!$D$2:$D$300,MATCH(B66,KOLs!$A$2:$A$300,0)),"¿KOL no dado de alta?"))</f>
        <v/>
      </c>
      <c r="D66" s="14"/>
      <c r="E66" s="14"/>
      <c r="F66" s="18"/>
      <c r="G66" s="18"/>
      <c r="H66" s="18"/>
      <c r="I66" s="18"/>
      <c r="J66" s="15"/>
      <c r="K66" s="14"/>
    </row>
    <row r="67" customFormat="false" ht="15" hidden="false" customHeight="false" outlineLevel="0" collapsed="false">
      <c r="A67" s="16"/>
      <c r="B67" s="14"/>
      <c r="C67" s="9" t="str">
        <f aca="false">IF(B67="","",IFERROR(INDEX(KOLs!$D$2:$D$300,MATCH(B67,KOLs!$A$2:$A$300,0)),"¿KOL no dado de alta?"))</f>
        <v/>
      </c>
      <c r="D67" s="14"/>
      <c r="E67" s="14"/>
      <c r="F67" s="18"/>
      <c r="G67" s="18"/>
      <c r="H67" s="18"/>
      <c r="I67" s="18"/>
      <c r="J67" s="15"/>
      <c r="K67" s="14"/>
    </row>
    <row r="68" customFormat="false" ht="15" hidden="false" customHeight="false" outlineLevel="0" collapsed="false">
      <c r="A68" s="16"/>
      <c r="B68" s="14"/>
      <c r="C68" s="9" t="str">
        <f aca="false">IF(B68="","",IFERROR(INDEX(KOLs!$D$2:$D$300,MATCH(B68,KOLs!$A$2:$A$300,0)),"¿KOL no dado de alta?"))</f>
        <v/>
      </c>
      <c r="D68" s="14"/>
      <c r="E68" s="14"/>
      <c r="F68" s="18"/>
      <c r="G68" s="18"/>
      <c r="H68" s="18"/>
      <c r="I68" s="18"/>
      <c r="J68" s="15"/>
      <c r="K68" s="14"/>
    </row>
    <row r="69" customFormat="false" ht="15" hidden="false" customHeight="false" outlineLevel="0" collapsed="false">
      <c r="A69" s="16"/>
      <c r="B69" s="14"/>
      <c r="C69" s="9" t="str">
        <f aca="false">IF(B69="","",IFERROR(INDEX(KOLs!$D$2:$D$300,MATCH(B69,KOLs!$A$2:$A$300,0)),"¿KOL no dado de alta?"))</f>
        <v/>
      </c>
      <c r="D69" s="14"/>
      <c r="E69" s="14"/>
      <c r="F69" s="18"/>
      <c r="G69" s="18"/>
      <c r="H69" s="18"/>
      <c r="I69" s="18"/>
      <c r="J69" s="15"/>
      <c r="K69" s="14"/>
    </row>
    <row r="70" customFormat="false" ht="15" hidden="false" customHeight="false" outlineLevel="0" collapsed="false">
      <c r="A70" s="16"/>
      <c r="B70" s="14"/>
      <c r="C70" s="9" t="str">
        <f aca="false">IF(B70="","",IFERROR(INDEX(KOLs!$D$2:$D$300,MATCH(B70,KOLs!$A$2:$A$300,0)),"¿KOL no dado de alta?"))</f>
        <v/>
      </c>
      <c r="D70" s="14"/>
      <c r="E70" s="14"/>
      <c r="F70" s="18"/>
      <c r="G70" s="18"/>
      <c r="H70" s="18"/>
      <c r="I70" s="18"/>
      <c r="J70" s="15"/>
      <c r="K70" s="14"/>
    </row>
    <row r="71" customFormat="false" ht="15" hidden="false" customHeight="false" outlineLevel="0" collapsed="false">
      <c r="A71" s="16"/>
      <c r="B71" s="14"/>
      <c r="C71" s="9" t="str">
        <f aca="false">IF(B71="","",IFERROR(INDEX(KOLs!$D$2:$D$300,MATCH(B71,KOLs!$A$2:$A$300,0)),"¿KOL no dado de alta?"))</f>
        <v/>
      </c>
      <c r="D71" s="14"/>
      <c r="E71" s="14"/>
      <c r="F71" s="18"/>
      <c r="G71" s="18"/>
      <c r="H71" s="18"/>
      <c r="I71" s="18"/>
      <c r="J71" s="15"/>
      <c r="K71" s="14"/>
    </row>
    <row r="72" customFormat="false" ht="15" hidden="false" customHeight="false" outlineLevel="0" collapsed="false">
      <c r="A72" s="16"/>
      <c r="B72" s="14"/>
      <c r="C72" s="9" t="str">
        <f aca="false">IF(B72="","",IFERROR(INDEX(KOLs!$D$2:$D$300,MATCH(B72,KOLs!$A$2:$A$300,0)),"¿KOL no dado de alta?"))</f>
        <v/>
      </c>
      <c r="D72" s="14"/>
      <c r="E72" s="14"/>
      <c r="F72" s="18"/>
      <c r="G72" s="18"/>
      <c r="H72" s="18"/>
      <c r="I72" s="18"/>
      <c r="J72" s="15"/>
      <c r="K72" s="14"/>
    </row>
    <row r="73" customFormat="false" ht="15" hidden="false" customHeight="false" outlineLevel="0" collapsed="false">
      <c r="A73" s="16"/>
      <c r="B73" s="14"/>
      <c r="C73" s="9" t="str">
        <f aca="false">IF(B73="","",IFERROR(INDEX(KOLs!$D$2:$D$300,MATCH(B73,KOLs!$A$2:$A$300,0)),"¿KOL no dado de alta?"))</f>
        <v/>
      </c>
      <c r="D73" s="14"/>
      <c r="E73" s="14"/>
      <c r="F73" s="18"/>
      <c r="G73" s="18"/>
      <c r="H73" s="18"/>
      <c r="I73" s="18"/>
      <c r="J73" s="15"/>
      <c r="K73" s="14"/>
    </row>
    <row r="74" customFormat="false" ht="15" hidden="false" customHeight="false" outlineLevel="0" collapsed="false">
      <c r="A74" s="16"/>
      <c r="B74" s="14"/>
      <c r="C74" s="9" t="str">
        <f aca="false">IF(B74="","",IFERROR(INDEX(KOLs!$D$2:$D$300,MATCH(B74,KOLs!$A$2:$A$300,0)),"¿KOL no dado de alta?"))</f>
        <v/>
      </c>
      <c r="D74" s="14"/>
      <c r="E74" s="14"/>
      <c r="F74" s="18"/>
      <c r="G74" s="18"/>
      <c r="H74" s="18"/>
      <c r="I74" s="18"/>
      <c r="J74" s="15"/>
      <c r="K74" s="14"/>
    </row>
    <row r="75" customFormat="false" ht="15" hidden="false" customHeight="false" outlineLevel="0" collapsed="false">
      <c r="A75" s="16"/>
      <c r="B75" s="14"/>
      <c r="C75" s="9" t="str">
        <f aca="false">IF(B75="","",IFERROR(INDEX(KOLs!$D$2:$D$300,MATCH(B75,KOLs!$A$2:$A$300,0)),"¿KOL no dado de alta?"))</f>
        <v/>
      </c>
      <c r="D75" s="14"/>
      <c r="E75" s="14"/>
      <c r="F75" s="18"/>
      <c r="G75" s="18"/>
      <c r="H75" s="18"/>
      <c r="I75" s="18"/>
      <c r="J75" s="15"/>
      <c r="K75" s="14"/>
    </row>
    <row r="76" customFormat="false" ht="15" hidden="false" customHeight="false" outlineLevel="0" collapsed="false">
      <c r="A76" s="16"/>
      <c r="B76" s="14"/>
      <c r="C76" s="9" t="str">
        <f aca="false">IF(B76="","",IFERROR(INDEX(KOLs!$D$2:$D$300,MATCH(B76,KOLs!$A$2:$A$300,0)),"¿KOL no dado de alta?"))</f>
        <v/>
      </c>
      <c r="D76" s="14"/>
      <c r="E76" s="14"/>
      <c r="F76" s="18"/>
      <c r="G76" s="18"/>
      <c r="H76" s="18"/>
      <c r="I76" s="18"/>
      <c r="J76" s="15"/>
      <c r="K76" s="14"/>
    </row>
    <row r="77" customFormat="false" ht="15" hidden="false" customHeight="false" outlineLevel="0" collapsed="false">
      <c r="A77" s="16"/>
      <c r="B77" s="14"/>
      <c r="C77" s="9" t="str">
        <f aca="false">IF(B77="","",IFERROR(INDEX(KOLs!$D$2:$D$300,MATCH(B77,KOLs!$A$2:$A$300,0)),"¿KOL no dado de alta?"))</f>
        <v/>
      </c>
      <c r="D77" s="14"/>
      <c r="E77" s="14"/>
      <c r="F77" s="18"/>
      <c r="G77" s="18"/>
      <c r="H77" s="18"/>
      <c r="I77" s="18"/>
      <c r="J77" s="15"/>
      <c r="K77" s="14"/>
    </row>
    <row r="78" customFormat="false" ht="15" hidden="false" customHeight="false" outlineLevel="0" collapsed="false">
      <c r="A78" s="16"/>
      <c r="B78" s="14"/>
      <c r="C78" s="9" t="str">
        <f aca="false">IF(B78="","",IFERROR(INDEX(KOLs!$D$2:$D$300,MATCH(B78,KOLs!$A$2:$A$300,0)),"¿KOL no dado de alta?"))</f>
        <v/>
      </c>
      <c r="D78" s="14"/>
      <c r="E78" s="14"/>
      <c r="F78" s="18"/>
      <c r="G78" s="18"/>
      <c r="H78" s="18"/>
      <c r="I78" s="18"/>
      <c r="J78" s="15"/>
      <c r="K78" s="14"/>
    </row>
    <row r="79" customFormat="false" ht="15" hidden="false" customHeight="false" outlineLevel="0" collapsed="false">
      <c r="A79" s="16"/>
      <c r="B79" s="14"/>
      <c r="C79" s="9" t="str">
        <f aca="false">IF(B79="","",IFERROR(INDEX(KOLs!$D$2:$D$300,MATCH(B79,KOLs!$A$2:$A$300,0)),"¿KOL no dado de alta?"))</f>
        <v/>
      </c>
      <c r="D79" s="14"/>
      <c r="E79" s="14"/>
      <c r="F79" s="18"/>
      <c r="G79" s="18"/>
      <c r="H79" s="18"/>
      <c r="I79" s="18"/>
      <c r="J79" s="15"/>
      <c r="K79" s="14"/>
    </row>
    <row r="80" customFormat="false" ht="15" hidden="false" customHeight="false" outlineLevel="0" collapsed="false">
      <c r="A80" s="16"/>
      <c r="B80" s="14"/>
      <c r="C80" s="9" t="str">
        <f aca="false">IF(B80="","",IFERROR(INDEX(KOLs!$D$2:$D$300,MATCH(B80,KOLs!$A$2:$A$300,0)),"¿KOL no dado de alta?"))</f>
        <v/>
      </c>
      <c r="D80" s="14"/>
      <c r="E80" s="14"/>
      <c r="F80" s="18"/>
      <c r="G80" s="18"/>
      <c r="H80" s="18"/>
      <c r="I80" s="18"/>
      <c r="J80" s="15"/>
      <c r="K80" s="14"/>
    </row>
    <row r="81" customFormat="false" ht="15" hidden="false" customHeight="false" outlineLevel="0" collapsed="false">
      <c r="A81" s="16"/>
      <c r="B81" s="14"/>
      <c r="C81" s="9" t="str">
        <f aca="false">IF(B81="","",IFERROR(INDEX(KOLs!$D$2:$D$300,MATCH(B81,KOLs!$A$2:$A$300,0)),"¿KOL no dado de alta?"))</f>
        <v/>
      </c>
      <c r="D81" s="14"/>
      <c r="E81" s="14"/>
      <c r="F81" s="18"/>
      <c r="G81" s="18"/>
      <c r="H81" s="18"/>
      <c r="I81" s="18"/>
      <c r="J81" s="15"/>
      <c r="K81" s="14"/>
    </row>
    <row r="82" customFormat="false" ht="15" hidden="false" customHeight="false" outlineLevel="0" collapsed="false">
      <c r="A82" s="16"/>
      <c r="B82" s="14"/>
      <c r="C82" s="9" t="str">
        <f aca="false">IF(B82="","",IFERROR(INDEX(KOLs!$D$2:$D$300,MATCH(B82,KOLs!$A$2:$A$300,0)),"¿KOL no dado de alta?"))</f>
        <v/>
      </c>
      <c r="D82" s="14"/>
      <c r="E82" s="14"/>
      <c r="F82" s="18"/>
      <c r="G82" s="18"/>
      <c r="H82" s="18"/>
      <c r="I82" s="18"/>
      <c r="J82" s="15"/>
      <c r="K82" s="14"/>
    </row>
    <row r="83" customFormat="false" ht="15" hidden="false" customHeight="false" outlineLevel="0" collapsed="false">
      <c r="A83" s="16"/>
      <c r="B83" s="14"/>
      <c r="C83" s="9" t="str">
        <f aca="false">IF(B83="","",IFERROR(INDEX(KOLs!$D$2:$D$300,MATCH(B83,KOLs!$A$2:$A$300,0)),"¿KOL no dado de alta?"))</f>
        <v/>
      </c>
      <c r="D83" s="14"/>
      <c r="E83" s="14"/>
      <c r="F83" s="18"/>
      <c r="G83" s="18"/>
      <c r="H83" s="18"/>
      <c r="I83" s="18"/>
      <c r="J83" s="15"/>
      <c r="K83" s="14"/>
    </row>
    <row r="84" customFormat="false" ht="15" hidden="false" customHeight="false" outlineLevel="0" collapsed="false">
      <c r="A84" s="16"/>
      <c r="B84" s="14"/>
      <c r="C84" s="9" t="str">
        <f aca="false">IF(B84="","",IFERROR(INDEX(KOLs!$D$2:$D$300,MATCH(B84,KOLs!$A$2:$A$300,0)),"¿KOL no dado de alta?"))</f>
        <v/>
      </c>
      <c r="D84" s="14"/>
      <c r="E84" s="14"/>
      <c r="F84" s="18"/>
      <c r="G84" s="18"/>
      <c r="H84" s="18"/>
      <c r="I84" s="18"/>
      <c r="J84" s="15"/>
      <c r="K84" s="14"/>
    </row>
    <row r="85" customFormat="false" ht="15" hidden="false" customHeight="false" outlineLevel="0" collapsed="false">
      <c r="A85" s="16"/>
      <c r="B85" s="14"/>
      <c r="C85" s="9" t="str">
        <f aca="false">IF(B85="","",IFERROR(INDEX(KOLs!$D$2:$D$300,MATCH(B85,KOLs!$A$2:$A$300,0)),"¿KOL no dado de alta?"))</f>
        <v/>
      </c>
      <c r="D85" s="14"/>
      <c r="E85" s="14"/>
      <c r="F85" s="18"/>
      <c r="G85" s="18"/>
      <c r="H85" s="18"/>
      <c r="I85" s="18"/>
      <c r="J85" s="15"/>
      <c r="K85" s="14"/>
    </row>
    <row r="86" customFormat="false" ht="15" hidden="false" customHeight="false" outlineLevel="0" collapsed="false">
      <c r="A86" s="16"/>
      <c r="B86" s="14"/>
      <c r="C86" s="9" t="str">
        <f aca="false">IF(B86="","",IFERROR(INDEX(KOLs!$D$2:$D$300,MATCH(B86,KOLs!$A$2:$A$300,0)),"¿KOL no dado de alta?"))</f>
        <v/>
      </c>
      <c r="D86" s="14"/>
      <c r="E86" s="14"/>
      <c r="F86" s="18"/>
      <c r="G86" s="18"/>
      <c r="H86" s="18"/>
      <c r="I86" s="18"/>
      <c r="J86" s="15"/>
      <c r="K86" s="14"/>
    </row>
    <row r="87" customFormat="false" ht="15" hidden="false" customHeight="false" outlineLevel="0" collapsed="false">
      <c r="A87" s="16"/>
      <c r="B87" s="14"/>
      <c r="C87" s="9" t="str">
        <f aca="false">IF(B87="","",IFERROR(INDEX(KOLs!$D$2:$D$300,MATCH(B87,KOLs!$A$2:$A$300,0)),"¿KOL no dado de alta?"))</f>
        <v/>
      </c>
      <c r="D87" s="14"/>
      <c r="E87" s="14"/>
      <c r="F87" s="18"/>
      <c r="G87" s="18"/>
      <c r="H87" s="18"/>
      <c r="I87" s="18"/>
      <c r="J87" s="15"/>
      <c r="K87" s="14"/>
    </row>
    <row r="88" customFormat="false" ht="15" hidden="false" customHeight="false" outlineLevel="0" collapsed="false">
      <c r="A88" s="16"/>
      <c r="B88" s="14"/>
      <c r="C88" s="9" t="str">
        <f aca="false">IF(B88="","",IFERROR(INDEX(KOLs!$D$2:$D$300,MATCH(B88,KOLs!$A$2:$A$300,0)),"¿KOL no dado de alta?"))</f>
        <v/>
      </c>
      <c r="D88" s="14"/>
      <c r="E88" s="14"/>
      <c r="F88" s="18"/>
      <c r="G88" s="18"/>
      <c r="H88" s="18"/>
      <c r="I88" s="18"/>
      <c r="J88" s="15"/>
      <c r="K88" s="14"/>
    </row>
    <row r="89" customFormat="false" ht="15" hidden="false" customHeight="false" outlineLevel="0" collapsed="false">
      <c r="A89" s="16"/>
      <c r="B89" s="14"/>
      <c r="C89" s="9" t="str">
        <f aca="false">IF(B89="","",IFERROR(INDEX(KOLs!$D$2:$D$300,MATCH(B89,KOLs!$A$2:$A$300,0)),"¿KOL no dado de alta?"))</f>
        <v/>
      </c>
      <c r="D89" s="14"/>
      <c r="E89" s="14"/>
      <c r="F89" s="18"/>
      <c r="G89" s="18"/>
      <c r="H89" s="18"/>
      <c r="I89" s="18"/>
      <c r="J89" s="15"/>
      <c r="K89" s="14"/>
    </row>
    <row r="90" customFormat="false" ht="15" hidden="false" customHeight="false" outlineLevel="0" collapsed="false">
      <c r="A90" s="16"/>
      <c r="B90" s="14"/>
      <c r="C90" s="9" t="str">
        <f aca="false">IF(B90="","",IFERROR(INDEX(KOLs!$D$2:$D$300,MATCH(B90,KOLs!$A$2:$A$300,0)),"¿KOL no dado de alta?"))</f>
        <v/>
      </c>
      <c r="D90" s="14"/>
      <c r="E90" s="14"/>
      <c r="F90" s="18"/>
      <c r="G90" s="18"/>
      <c r="H90" s="18"/>
      <c r="I90" s="18"/>
      <c r="J90" s="15"/>
      <c r="K90" s="14"/>
    </row>
    <row r="91" customFormat="false" ht="15" hidden="false" customHeight="false" outlineLevel="0" collapsed="false">
      <c r="A91" s="16"/>
      <c r="B91" s="14"/>
      <c r="C91" s="9" t="str">
        <f aca="false">IF(B91="","",IFERROR(INDEX(KOLs!$D$2:$D$300,MATCH(B91,KOLs!$A$2:$A$300,0)),"¿KOL no dado de alta?"))</f>
        <v/>
      </c>
      <c r="D91" s="14"/>
      <c r="E91" s="14"/>
      <c r="F91" s="18"/>
      <c r="G91" s="18"/>
      <c r="H91" s="18"/>
      <c r="I91" s="18"/>
      <c r="J91" s="15"/>
      <c r="K91" s="14"/>
    </row>
    <row r="92" customFormat="false" ht="15" hidden="false" customHeight="false" outlineLevel="0" collapsed="false">
      <c r="A92" s="16"/>
      <c r="B92" s="14"/>
      <c r="C92" s="9" t="str">
        <f aca="false">IF(B92="","",IFERROR(INDEX(KOLs!$D$2:$D$300,MATCH(B92,KOLs!$A$2:$A$300,0)),"¿KOL no dado de alta?"))</f>
        <v/>
      </c>
      <c r="D92" s="14"/>
      <c r="E92" s="14"/>
      <c r="F92" s="18"/>
      <c r="G92" s="18"/>
      <c r="H92" s="18"/>
      <c r="I92" s="18"/>
      <c r="J92" s="15"/>
      <c r="K92" s="14"/>
    </row>
    <row r="93" customFormat="false" ht="15" hidden="false" customHeight="false" outlineLevel="0" collapsed="false">
      <c r="A93" s="16"/>
      <c r="B93" s="14"/>
      <c r="C93" s="9" t="str">
        <f aca="false">IF(B93="","",IFERROR(INDEX(KOLs!$D$2:$D$300,MATCH(B93,KOLs!$A$2:$A$300,0)),"¿KOL no dado de alta?"))</f>
        <v/>
      </c>
      <c r="D93" s="14"/>
      <c r="E93" s="14"/>
      <c r="F93" s="18"/>
      <c r="G93" s="18"/>
      <c r="H93" s="18"/>
      <c r="I93" s="18"/>
      <c r="J93" s="15"/>
      <c r="K93" s="14"/>
    </row>
    <row r="94" customFormat="false" ht="15" hidden="false" customHeight="false" outlineLevel="0" collapsed="false">
      <c r="A94" s="16"/>
      <c r="B94" s="14"/>
      <c r="C94" s="9" t="str">
        <f aca="false">IF(B94="","",IFERROR(INDEX(KOLs!$D$2:$D$300,MATCH(B94,KOLs!$A$2:$A$300,0)),"¿KOL no dado de alta?"))</f>
        <v/>
      </c>
      <c r="D94" s="14"/>
      <c r="E94" s="14"/>
      <c r="F94" s="18"/>
      <c r="G94" s="18"/>
      <c r="H94" s="18"/>
      <c r="I94" s="18"/>
      <c r="J94" s="15"/>
      <c r="K94" s="14"/>
    </row>
    <row r="95" customFormat="false" ht="15" hidden="false" customHeight="false" outlineLevel="0" collapsed="false">
      <c r="A95" s="16"/>
      <c r="B95" s="14"/>
      <c r="C95" s="9" t="str">
        <f aca="false">IF(B95="","",IFERROR(INDEX(KOLs!$D$2:$D$300,MATCH(B95,KOLs!$A$2:$A$300,0)),"¿KOL no dado de alta?"))</f>
        <v/>
      </c>
      <c r="D95" s="14"/>
      <c r="E95" s="14"/>
      <c r="F95" s="18"/>
      <c r="G95" s="18"/>
      <c r="H95" s="18"/>
      <c r="I95" s="18"/>
      <c r="J95" s="15"/>
      <c r="K95" s="14"/>
    </row>
    <row r="96" customFormat="false" ht="15" hidden="false" customHeight="false" outlineLevel="0" collapsed="false">
      <c r="A96" s="16"/>
      <c r="B96" s="14"/>
      <c r="C96" s="9" t="str">
        <f aca="false">IF(B96="","",IFERROR(INDEX(KOLs!$D$2:$D$300,MATCH(B96,KOLs!$A$2:$A$300,0)),"¿KOL no dado de alta?"))</f>
        <v/>
      </c>
      <c r="D96" s="14"/>
      <c r="E96" s="14"/>
      <c r="F96" s="18"/>
      <c r="G96" s="18"/>
      <c r="H96" s="18"/>
      <c r="I96" s="18"/>
      <c r="J96" s="15"/>
      <c r="K96" s="14"/>
    </row>
    <row r="97" customFormat="false" ht="15" hidden="false" customHeight="false" outlineLevel="0" collapsed="false">
      <c r="A97" s="16"/>
      <c r="B97" s="14"/>
      <c r="C97" s="9" t="str">
        <f aca="false">IF(B97="","",IFERROR(INDEX(KOLs!$D$2:$D$300,MATCH(B97,KOLs!$A$2:$A$300,0)),"¿KOL no dado de alta?"))</f>
        <v/>
      </c>
      <c r="D97" s="14"/>
      <c r="E97" s="14"/>
      <c r="F97" s="18"/>
      <c r="G97" s="18"/>
      <c r="H97" s="18"/>
      <c r="I97" s="18"/>
      <c r="J97" s="15"/>
      <c r="K97" s="14"/>
    </row>
    <row r="98" customFormat="false" ht="15" hidden="false" customHeight="false" outlineLevel="0" collapsed="false">
      <c r="A98" s="16"/>
      <c r="B98" s="14"/>
      <c r="C98" s="9" t="str">
        <f aca="false">IF(B98="","",IFERROR(INDEX(KOLs!$D$2:$D$300,MATCH(B98,KOLs!$A$2:$A$300,0)),"¿KOL no dado de alta?"))</f>
        <v/>
      </c>
      <c r="D98" s="14"/>
      <c r="E98" s="14"/>
      <c r="F98" s="18"/>
      <c r="G98" s="18"/>
      <c r="H98" s="18"/>
      <c r="I98" s="18"/>
      <c r="J98" s="15"/>
      <c r="K98" s="14"/>
    </row>
    <row r="99" customFormat="false" ht="15" hidden="false" customHeight="false" outlineLevel="0" collapsed="false">
      <c r="A99" s="16"/>
      <c r="B99" s="14"/>
      <c r="C99" s="9" t="str">
        <f aca="false">IF(B99="","",IFERROR(INDEX(KOLs!$D$2:$D$300,MATCH(B99,KOLs!$A$2:$A$300,0)),"¿KOL no dado de alta?"))</f>
        <v/>
      </c>
      <c r="D99" s="14"/>
      <c r="E99" s="14"/>
      <c r="F99" s="18"/>
      <c r="G99" s="18"/>
      <c r="H99" s="18"/>
      <c r="I99" s="18"/>
      <c r="J99" s="15"/>
      <c r="K99" s="14"/>
    </row>
    <row r="100" customFormat="false" ht="15" hidden="false" customHeight="false" outlineLevel="0" collapsed="false">
      <c r="A100" s="16"/>
      <c r="B100" s="14"/>
      <c r="C100" s="9" t="str">
        <f aca="false">IF(B100="","",IFERROR(INDEX(KOLs!$D$2:$D$300,MATCH(B100,KOLs!$A$2:$A$300,0)),"¿KOL no dado de alta?"))</f>
        <v/>
      </c>
      <c r="D100" s="14"/>
      <c r="E100" s="14"/>
      <c r="F100" s="18"/>
      <c r="G100" s="18"/>
      <c r="H100" s="18"/>
      <c r="I100" s="18"/>
      <c r="J100" s="15"/>
      <c r="K100" s="14"/>
    </row>
    <row r="101" customFormat="false" ht="15" hidden="false" customHeight="false" outlineLevel="0" collapsed="false">
      <c r="A101" s="16"/>
      <c r="B101" s="14"/>
      <c r="C101" s="9" t="str">
        <f aca="false">IF(B101="","",IFERROR(INDEX(KOLs!$D$2:$D$300,MATCH(B101,KOLs!$A$2:$A$300,0)),"¿KOL no dado de alta?"))</f>
        <v/>
      </c>
      <c r="D101" s="14"/>
      <c r="E101" s="14"/>
      <c r="F101" s="18"/>
      <c r="G101" s="18"/>
      <c r="H101" s="18"/>
      <c r="I101" s="18"/>
      <c r="J101" s="15"/>
      <c r="K101" s="14"/>
    </row>
    <row r="102" customFormat="false" ht="15" hidden="false" customHeight="false" outlineLevel="0" collapsed="false">
      <c r="A102" s="16"/>
      <c r="B102" s="14"/>
      <c r="C102" s="9" t="str">
        <f aca="false">IF(B102="","",IFERROR(INDEX(KOLs!$D$2:$D$300,MATCH(B102,KOLs!$A$2:$A$300,0)),"¿KOL no dado de alta?"))</f>
        <v/>
      </c>
      <c r="D102" s="14"/>
      <c r="E102" s="14"/>
      <c r="F102" s="18"/>
      <c r="G102" s="18"/>
      <c r="H102" s="18"/>
      <c r="I102" s="18"/>
      <c r="J102" s="15"/>
      <c r="K102" s="14"/>
    </row>
    <row r="103" customFormat="false" ht="15" hidden="false" customHeight="false" outlineLevel="0" collapsed="false">
      <c r="A103" s="16"/>
      <c r="B103" s="14"/>
      <c r="C103" s="9" t="str">
        <f aca="false">IF(B103="","",IFERROR(INDEX(KOLs!$D$2:$D$300,MATCH(B103,KOLs!$A$2:$A$300,0)),"¿KOL no dado de alta?"))</f>
        <v/>
      </c>
      <c r="D103" s="14"/>
      <c r="E103" s="14"/>
      <c r="F103" s="18"/>
      <c r="G103" s="18"/>
      <c r="H103" s="18"/>
      <c r="I103" s="18"/>
      <c r="J103" s="15"/>
      <c r="K103" s="14"/>
    </row>
    <row r="104" customFormat="false" ht="15" hidden="false" customHeight="false" outlineLevel="0" collapsed="false">
      <c r="A104" s="16"/>
      <c r="B104" s="14"/>
      <c r="C104" s="9" t="str">
        <f aca="false">IF(B104="","",IFERROR(INDEX(KOLs!$D$2:$D$300,MATCH(B104,KOLs!$A$2:$A$300,0)),"¿KOL no dado de alta?"))</f>
        <v/>
      </c>
      <c r="D104" s="14"/>
      <c r="E104" s="14"/>
      <c r="F104" s="18"/>
      <c r="G104" s="18"/>
      <c r="H104" s="18"/>
      <c r="I104" s="18"/>
      <c r="J104" s="15"/>
      <c r="K104" s="14"/>
    </row>
    <row r="105" customFormat="false" ht="15" hidden="false" customHeight="false" outlineLevel="0" collapsed="false">
      <c r="A105" s="16"/>
      <c r="B105" s="14"/>
      <c r="C105" s="9" t="str">
        <f aca="false">IF(B105="","",IFERROR(INDEX(KOLs!$D$2:$D$300,MATCH(B105,KOLs!$A$2:$A$300,0)),"¿KOL no dado de alta?"))</f>
        <v/>
      </c>
      <c r="D105" s="14"/>
      <c r="E105" s="14"/>
      <c r="F105" s="18"/>
      <c r="G105" s="18"/>
      <c r="H105" s="18"/>
      <c r="I105" s="18"/>
      <c r="J105" s="15"/>
      <c r="K105" s="14"/>
    </row>
    <row r="106" customFormat="false" ht="15" hidden="false" customHeight="false" outlineLevel="0" collapsed="false">
      <c r="A106" s="16"/>
      <c r="B106" s="14"/>
      <c r="C106" s="9" t="str">
        <f aca="false">IF(B106="","",IFERROR(INDEX(KOLs!$D$2:$D$300,MATCH(B106,KOLs!$A$2:$A$300,0)),"¿KOL no dado de alta?"))</f>
        <v/>
      </c>
      <c r="D106" s="14"/>
      <c r="E106" s="14"/>
      <c r="F106" s="18"/>
      <c r="G106" s="18"/>
      <c r="H106" s="18"/>
      <c r="I106" s="18"/>
      <c r="J106" s="15"/>
      <c r="K106" s="14"/>
    </row>
    <row r="107" customFormat="false" ht="15" hidden="false" customHeight="false" outlineLevel="0" collapsed="false">
      <c r="A107" s="16"/>
      <c r="B107" s="14"/>
      <c r="C107" s="9" t="str">
        <f aca="false">IF(B107="","",IFERROR(INDEX(KOLs!$D$2:$D$300,MATCH(B107,KOLs!$A$2:$A$300,0)),"¿KOL no dado de alta?"))</f>
        <v/>
      </c>
      <c r="D107" s="14"/>
      <c r="E107" s="14"/>
      <c r="F107" s="18"/>
      <c r="G107" s="18"/>
      <c r="H107" s="18"/>
      <c r="I107" s="18"/>
      <c r="J107" s="15"/>
      <c r="K107" s="14"/>
    </row>
    <row r="108" customFormat="false" ht="15" hidden="false" customHeight="false" outlineLevel="0" collapsed="false">
      <c r="A108" s="16"/>
      <c r="B108" s="14"/>
      <c r="C108" s="9" t="str">
        <f aca="false">IF(B108="","",IFERROR(INDEX(KOLs!$D$2:$D$300,MATCH(B108,KOLs!$A$2:$A$300,0)),"¿KOL no dado de alta?"))</f>
        <v/>
      </c>
      <c r="D108" s="14"/>
      <c r="E108" s="14"/>
      <c r="F108" s="18"/>
      <c r="G108" s="18"/>
      <c r="H108" s="18"/>
      <c r="I108" s="18"/>
      <c r="J108" s="15"/>
      <c r="K108" s="14"/>
    </row>
    <row r="109" customFormat="false" ht="15" hidden="false" customHeight="false" outlineLevel="0" collapsed="false">
      <c r="A109" s="16"/>
      <c r="B109" s="14"/>
      <c r="C109" s="9" t="str">
        <f aca="false">IF(B109="","",IFERROR(INDEX(KOLs!$D$2:$D$300,MATCH(B109,KOLs!$A$2:$A$300,0)),"¿KOL no dado de alta?"))</f>
        <v/>
      </c>
      <c r="D109" s="14"/>
      <c r="E109" s="14"/>
      <c r="F109" s="18"/>
      <c r="G109" s="18"/>
      <c r="H109" s="18"/>
      <c r="I109" s="18"/>
      <c r="J109" s="15"/>
      <c r="K109" s="14"/>
    </row>
    <row r="110" customFormat="false" ht="15" hidden="false" customHeight="false" outlineLevel="0" collapsed="false">
      <c r="A110" s="16"/>
      <c r="B110" s="14"/>
      <c r="C110" s="9" t="str">
        <f aca="false">IF(B110="","",IFERROR(INDEX(KOLs!$D$2:$D$300,MATCH(B110,KOLs!$A$2:$A$300,0)),"¿KOL no dado de alta?"))</f>
        <v/>
      </c>
      <c r="D110" s="14"/>
      <c r="E110" s="14"/>
      <c r="F110" s="18"/>
      <c r="G110" s="18"/>
      <c r="H110" s="18"/>
      <c r="I110" s="18"/>
      <c r="J110" s="15"/>
      <c r="K110" s="14"/>
    </row>
    <row r="111" customFormat="false" ht="15" hidden="false" customHeight="false" outlineLevel="0" collapsed="false">
      <c r="A111" s="16"/>
      <c r="B111" s="14"/>
      <c r="C111" s="9" t="str">
        <f aca="false">IF(B111="","",IFERROR(INDEX(KOLs!$D$2:$D$300,MATCH(B111,KOLs!$A$2:$A$300,0)),"¿KOL no dado de alta?"))</f>
        <v/>
      </c>
      <c r="D111" s="14"/>
      <c r="E111" s="14"/>
      <c r="F111" s="18"/>
      <c r="G111" s="18"/>
      <c r="H111" s="18"/>
      <c r="I111" s="18"/>
      <c r="J111" s="15"/>
      <c r="K111" s="14"/>
    </row>
    <row r="112" customFormat="false" ht="15" hidden="false" customHeight="false" outlineLevel="0" collapsed="false">
      <c r="A112" s="16"/>
      <c r="B112" s="14"/>
      <c r="C112" s="9" t="str">
        <f aca="false">IF(B112="","",IFERROR(INDEX(KOLs!$D$2:$D$300,MATCH(B112,KOLs!$A$2:$A$300,0)),"¿KOL no dado de alta?"))</f>
        <v/>
      </c>
      <c r="D112" s="14"/>
      <c r="E112" s="14"/>
      <c r="F112" s="18"/>
      <c r="G112" s="18"/>
      <c r="H112" s="18"/>
      <c r="I112" s="18"/>
      <c r="J112" s="15"/>
      <c r="K112" s="14"/>
    </row>
    <row r="113" customFormat="false" ht="15" hidden="false" customHeight="false" outlineLevel="0" collapsed="false">
      <c r="A113" s="16"/>
      <c r="B113" s="14"/>
      <c r="C113" s="9" t="str">
        <f aca="false">IF(B113="","",IFERROR(INDEX(KOLs!$D$2:$D$300,MATCH(B113,KOLs!$A$2:$A$300,0)),"¿KOL no dado de alta?"))</f>
        <v/>
      </c>
      <c r="D113" s="14"/>
      <c r="E113" s="14"/>
      <c r="F113" s="18"/>
      <c r="G113" s="18"/>
      <c r="H113" s="18"/>
      <c r="I113" s="18"/>
      <c r="J113" s="15"/>
      <c r="K113" s="14"/>
    </row>
    <row r="114" customFormat="false" ht="15" hidden="false" customHeight="false" outlineLevel="0" collapsed="false">
      <c r="A114" s="16"/>
      <c r="B114" s="14"/>
      <c r="C114" s="9" t="str">
        <f aca="false">IF(B114="","",IFERROR(INDEX(KOLs!$D$2:$D$300,MATCH(B114,KOLs!$A$2:$A$300,0)),"¿KOL no dado de alta?"))</f>
        <v/>
      </c>
      <c r="D114" s="14"/>
      <c r="E114" s="14"/>
      <c r="F114" s="18"/>
      <c r="G114" s="18"/>
      <c r="H114" s="18"/>
      <c r="I114" s="18"/>
      <c r="J114" s="15"/>
      <c r="K114" s="14"/>
    </row>
    <row r="115" customFormat="false" ht="15" hidden="false" customHeight="false" outlineLevel="0" collapsed="false">
      <c r="A115" s="16"/>
      <c r="B115" s="14"/>
      <c r="C115" s="9" t="str">
        <f aca="false">IF(B115="","",IFERROR(INDEX(KOLs!$D$2:$D$300,MATCH(B115,KOLs!$A$2:$A$300,0)),"¿KOL no dado de alta?"))</f>
        <v/>
      </c>
      <c r="D115" s="14"/>
      <c r="E115" s="14"/>
      <c r="F115" s="18"/>
      <c r="G115" s="18"/>
      <c r="H115" s="18"/>
      <c r="I115" s="18"/>
      <c r="J115" s="15"/>
      <c r="K115" s="14"/>
    </row>
    <row r="116" customFormat="false" ht="15" hidden="false" customHeight="false" outlineLevel="0" collapsed="false">
      <c r="A116" s="16"/>
      <c r="B116" s="14"/>
      <c r="C116" s="9" t="str">
        <f aca="false">IF(B116="","",IFERROR(INDEX(KOLs!$D$2:$D$300,MATCH(B116,KOLs!$A$2:$A$300,0)),"¿KOL no dado de alta?"))</f>
        <v/>
      </c>
      <c r="D116" s="14"/>
      <c r="E116" s="14"/>
      <c r="F116" s="18"/>
      <c r="G116" s="18"/>
      <c r="H116" s="18"/>
      <c r="I116" s="18"/>
      <c r="J116" s="15"/>
      <c r="K116" s="14"/>
    </row>
    <row r="117" customFormat="false" ht="15" hidden="false" customHeight="false" outlineLevel="0" collapsed="false">
      <c r="A117" s="16"/>
      <c r="B117" s="14"/>
      <c r="C117" s="9" t="str">
        <f aca="false">IF(B117="","",IFERROR(INDEX(KOLs!$D$2:$D$300,MATCH(B117,KOLs!$A$2:$A$300,0)),"¿KOL no dado de alta?"))</f>
        <v/>
      </c>
      <c r="D117" s="14"/>
      <c r="E117" s="14"/>
      <c r="F117" s="18"/>
      <c r="G117" s="18"/>
      <c r="H117" s="18"/>
      <c r="I117" s="18"/>
      <c r="J117" s="15"/>
      <c r="K117" s="14"/>
    </row>
    <row r="118" customFormat="false" ht="15" hidden="false" customHeight="false" outlineLevel="0" collapsed="false">
      <c r="A118" s="16"/>
      <c r="B118" s="14"/>
      <c r="C118" s="9" t="str">
        <f aca="false">IF(B118="","",IFERROR(INDEX(KOLs!$D$2:$D$300,MATCH(B118,KOLs!$A$2:$A$300,0)),"¿KOL no dado de alta?"))</f>
        <v/>
      </c>
      <c r="D118" s="14"/>
      <c r="E118" s="14"/>
      <c r="F118" s="18"/>
      <c r="G118" s="18"/>
      <c r="H118" s="18"/>
      <c r="I118" s="18"/>
      <c r="J118" s="15"/>
      <c r="K118" s="14"/>
    </row>
    <row r="119" customFormat="false" ht="15" hidden="false" customHeight="false" outlineLevel="0" collapsed="false">
      <c r="A119" s="16"/>
      <c r="B119" s="14"/>
      <c r="C119" s="9" t="str">
        <f aca="false">IF(B119="","",IFERROR(INDEX(KOLs!$D$2:$D$300,MATCH(B119,KOLs!$A$2:$A$300,0)),"¿KOL no dado de alta?"))</f>
        <v/>
      </c>
      <c r="D119" s="14"/>
      <c r="E119" s="14"/>
      <c r="F119" s="18"/>
      <c r="G119" s="18"/>
      <c r="H119" s="18"/>
      <c r="I119" s="18"/>
      <c r="J119" s="15"/>
      <c r="K119" s="14"/>
    </row>
    <row r="120" customFormat="false" ht="15" hidden="false" customHeight="false" outlineLevel="0" collapsed="false">
      <c r="A120" s="16"/>
      <c r="B120" s="14"/>
      <c r="C120" s="9" t="str">
        <f aca="false">IF(B120="","",IFERROR(INDEX(KOLs!$D$2:$D$300,MATCH(B120,KOLs!$A$2:$A$300,0)),"¿KOL no dado de alta?"))</f>
        <v/>
      </c>
      <c r="D120" s="14"/>
      <c r="E120" s="14"/>
      <c r="F120" s="18"/>
      <c r="G120" s="18"/>
      <c r="H120" s="18"/>
      <c r="I120" s="18"/>
      <c r="J120" s="15"/>
      <c r="K120" s="14"/>
    </row>
    <row r="121" customFormat="false" ht="15" hidden="false" customHeight="false" outlineLevel="0" collapsed="false">
      <c r="A121" s="16"/>
      <c r="B121" s="14"/>
      <c r="C121" s="9" t="str">
        <f aca="false">IF(B121="","",IFERROR(INDEX(KOLs!$D$2:$D$300,MATCH(B121,KOLs!$A$2:$A$300,0)),"¿KOL no dado de alta?"))</f>
        <v/>
      </c>
      <c r="D121" s="14"/>
      <c r="E121" s="14"/>
      <c r="F121" s="18"/>
      <c r="G121" s="18"/>
      <c r="H121" s="18"/>
      <c r="I121" s="18"/>
      <c r="J121" s="15"/>
      <c r="K121" s="14"/>
    </row>
    <row r="122" customFormat="false" ht="15" hidden="false" customHeight="false" outlineLevel="0" collapsed="false">
      <c r="A122" s="16"/>
      <c r="B122" s="14"/>
      <c r="C122" s="9" t="str">
        <f aca="false">IF(B122="","",IFERROR(INDEX(KOLs!$D$2:$D$300,MATCH(B122,KOLs!$A$2:$A$300,0)),"¿KOL no dado de alta?"))</f>
        <v/>
      </c>
      <c r="D122" s="14"/>
      <c r="E122" s="14"/>
      <c r="F122" s="18"/>
      <c r="G122" s="18"/>
      <c r="H122" s="18"/>
      <c r="I122" s="18"/>
      <c r="J122" s="15"/>
      <c r="K122" s="14"/>
    </row>
    <row r="123" customFormat="false" ht="15" hidden="false" customHeight="false" outlineLevel="0" collapsed="false">
      <c r="A123" s="16"/>
      <c r="B123" s="14"/>
      <c r="C123" s="9" t="str">
        <f aca="false">IF(B123="","",IFERROR(INDEX(KOLs!$D$2:$D$300,MATCH(B123,KOLs!$A$2:$A$300,0)),"¿KOL no dado de alta?"))</f>
        <v/>
      </c>
      <c r="D123" s="14"/>
      <c r="E123" s="14"/>
      <c r="F123" s="18"/>
      <c r="G123" s="18"/>
      <c r="H123" s="18"/>
      <c r="I123" s="18"/>
      <c r="J123" s="15"/>
      <c r="K123" s="14"/>
    </row>
    <row r="124" customFormat="false" ht="15" hidden="false" customHeight="false" outlineLevel="0" collapsed="false">
      <c r="A124" s="16"/>
      <c r="B124" s="14"/>
      <c r="C124" s="9" t="str">
        <f aca="false">IF(B124="","",IFERROR(INDEX(KOLs!$D$2:$D$300,MATCH(B124,KOLs!$A$2:$A$300,0)),"¿KOL no dado de alta?"))</f>
        <v/>
      </c>
      <c r="D124" s="14"/>
      <c r="E124" s="14"/>
      <c r="F124" s="18"/>
      <c r="G124" s="18"/>
      <c r="H124" s="18"/>
      <c r="I124" s="18"/>
      <c r="J124" s="15"/>
      <c r="K124" s="14"/>
    </row>
    <row r="125" customFormat="false" ht="15" hidden="false" customHeight="false" outlineLevel="0" collapsed="false">
      <c r="A125" s="16"/>
      <c r="B125" s="14"/>
      <c r="C125" s="9" t="str">
        <f aca="false">IF(B125="","",IFERROR(INDEX(KOLs!$D$2:$D$300,MATCH(B125,KOLs!$A$2:$A$300,0)),"¿KOL no dado de alta?"))</f>
        <v/>
      </c>
      <c r="D125" s="14"/>
      <c r="E125" s="14"/>
      <c r="F125" s="18"/>
      <c r="G125" s="18"/>
      <c r="H125" s="18"/>
      <c r="I125" s="18"/>
      <c r="J125" s="15"/>
      <c r="K125" s="14"/>
    </row>
    <row r="126" customFormat="false" ht="15" hidden="false" customHeight="false" outlineLevel="0" collapsed="false">
      <c r="A126" s="16"/>
      <c r="B126" s="14"/>
      <c r="C126" s="9" t="str">
        <f aca="false">IF(B126="","",IFERROR(INDEX(KOLs!$D$2:$D$300,MATCH(B126,KOLs!$A$2:$A$300,0)),"¿KOL no dado de alta?"))</f>
        <v/>
      </c>
      <c r="D126" s="14"/>
      <c r="E126" s="14"/>
      <c r="F126" s="18"/>
      <c r="G126" s="18"/>
      <c r="H126" s="18"/>
      <c r="I126" s="18"/>
      <c r="J126" s="15"/>
      <c r="K126" s="14"/>
    </row>
    <row r="127" customFormat="false" ht="15" hidden="false" customHeight="false" outlineLevel="0" collapsed="false">
      <c r="A127" s="16"/>
      <c r="B127" s="14"/>
      <c r="C127" s="9" t="str">
        <f aca="false">IF(B127="","",IFERROR(INDEX(KOLs!$D$2:$D$300,MATCH(B127,KOLs!$A$2:$A$300,0)),"¿KOL no dado de alta?"))</f>
        <v/>
      </c>
      <c r="D127" s="14"/>
      <c r="E127" s="14"/>
      <c r="F127" s="18"/>
      <c r="G127" s="18"/>
      <c r="H127" s="18"/>
      <c r="I127" s="18"/>
      <c r="J127" s="15"/>
      <c r="K127" s="14"/>
    </row>
    <row r="128" customFormat="false" ht="15" hidden="false" customHeight="false" outlineLevel="0" collapsed="false">
      <c r="A128" s="16"/>
      <c r="B128" s="14"/>
      <c r="C128" s="9" t="str">
        <f aca="false">IF(B128="","",IFERROR(INDEX(KOLs!$D$2:$D$300,MATCH(B128,KOLs!$A$2:$A$300,0)),"¿KOL no dado de alta?"))</f>
        <v/>
      </c>
      <c r="D128" s="14"/>
      <c r="E128" s="14"/>
      <c r="F128" s="18"/>
      <c r="G128" s="18"/>
      <c r="H128" s="18"/>
      <c r="I128" s="18"/>
      <c r="J128" s="15"/>
      <c r="K128" s="14"/>
    </row>
    <row r="129" customFormat="false" ht="15" hidden="false" customHeight="false" outlineLevel="0" collapsed="false">
      <c r="A129" s="16"/>
      <c r="B129" s="14"/>
      <c r="C129" s="9" t="str">
        <f aca="false">IF(B129="","",IFERROR(INDEX(KOLs!$D$2:$D$300,MATCH(B129,KOLs!$A$2:$A$300,0)),"¿KOL no dado de alta?"))</f>
        <v/>
      </c>
      <c r="D129" s="14"/>
      <c r="E129" s="14"/>
      <c r="F129" s="18"/>
      <c r="G129" s="18"/>
      <c r="H129" s="18"/>
      <c r="I129" s="18"/>
      <c r="J129" s="15"/>
      <c r="K129" s="14"/>
    </row>
    <row r="130" customFormat="false" ht="15" hidden="false" customHeight="false" outlineLevel="0" collapsed="false">
      <c r="A130" s="16"/>
      <c r="B130" s="14"/>
      <c r="C130" s="9" t="str">
        <f aca="false">IF(B130="","",IFERROR(INDEX(KOLs!$D$2:$D$300,MATCH(B130,KOLs!$A$2:$A$300,0)),"¿KOL no dado de alta?"))</f>
        <v/>
      </c>
      <c r="D130" s="14"/>
      <c r="E130" s="14"/>
      <c r="F130" s="18"/>
      <c r="G130" s="18"/>
      <c r="H130" s="18"/>
      <c r="I130" s="18"/>
      <c r="J130" s="15"/>
      <c r="K130" s="14"/>
    </row>
    <row r="131" customFormat="false" ht="15" hidden="false" customHeight="false" outlineLevel="0" collapsed="false">
      <c r="A131" s="16"/>
      <c r="B131" s="14"/>
      <c r="C131" s="9" t="str">
        <f aca="false">IF(B131="","",IFERROR(INDEX(KOLs!$D$2:$D$300,MATCH(B131,KOLs!$A$2:$A$300,0)),"¿KOL no dado de alta?"))</f>
        <v/>
      </c>
      <c r="D131" s="14"/>
      <c r="E131" s="14"/>
      <c r="F131" s="18"/>
      <c r="G131" s="18"/>
      <c r="H131" s="18"/>
      <c r="I131" s="18"/>
      <c r="J131" s="15"/>
      <c r="K131" s="14"/>
    </row>
    <row r="132" customFormat="false" ht="15" hidden="false" customHeight="false" outlineLevel="0" collapsed="false">
      <c r="A132" s="16"/>
      <c r="B132" s="14"/>
      <c r="C132" s="9" t="str">
        <f aca="false">IF(B132="","",IFERROR(INDEX(KOLs!$D$2:$D$300,MATCH(B132,KOLs!$A$2:$A$300,0)),"¿KOL no dado de alta?"))</f>
        <v/>
      </c>
      <c r="D132" s="14"/>
      <c r="E132" s="14"/>
      <c r="F132" s="18"/>
      <c r="G132" s="18"/>
      <c r="H132" s="18"/>
      <c r="I132" s="18"/>
      <c r="J132" s="15"/>
      <c r="K132" s="14"/>
    </row>
    <row r="133" customFormat="false" ht="15" hidden="false" customHeight="false" outlineLevel="0" collapsed="false">
      <c r="A133" s="16"/>
      <c r="B133" s="14"/>
      <c r="C133" s="9" t="str">
        <f aca="false">IF(B133="","",IFERROR(INDEX(KOLs!$D$2:$D$300,MATCH(B133,KOLs!$A$2:$A$300,0)),"¿KOL no dado de alta?"))</f>
        <v/>
      </c>
      <c r="D133" s="14"/>
      <c r="E133" s="14"/>
      <c r="F133" s="18"/>
      <c r="G133" s="18"/>
      <c r="H133" s="18"/>
      <c r="I133" s="18"/>
      <c r="J133" s="15"/>
      <c r="K133" s="14"/>
    </row>
    <row r="134" customFormat="false" ht="15" hidden="false" customHeight="false" outlineLevel="0" collapsed="false">
      <c r="A134" s="16"/>
      <c r="B134" s="14"/>
      <c r="C134" s="9" t="str">
        <f aca="false">IF(B134="","",IFERROR(INDEX(KOLs!$D$2:$D$300,MATCH(B134,KOLs!$A$2:$A$300,0)),"¿KOL no dado de alta?"))</f>
        <v/>
      </c>
      <c r="D134" s="14"/>
      <c r="E134" s="14"/>
      <c r="F134" s="18"/>
      <c r="G134" s="18"/>
      <c r="H134" s="18"/>
      <c r="I134" s="18"/>
      <c r="J134" s="15"/>
      <c r="K134" s="14"/>
    </row>
    <row r="135" customFormat="false" ht="15" hidden="false" customHeight="false" outlineLevel="0" collapsed="false">
      <c r="A135" s="16"/>
      <c r="B135" s="14"/>
      <c r="C135" s="9" t="str">
        <f aca="false">IF(B135="","",IFERROR(INDEX(KOLs!$D$2:$D$300,MATCH(B135,KOLs!$A$2:$A$300,0)),"¿KOL no dado de alta?"))</f>
        <v/>
      </c>
      <c r="D135" s="14"/>
      <c r="E135" s="14"/>
      <c r="F135" s="18"/>
      <c r="G135" s="18"/>
      <c r="H135" s="18"/>
      <c r="I135" s="18"/>
      <c r="J135" s="15"/>
      <c r="K135" s="14"/>
    </row>
    <row r="136" customFormat="false" ht="15" hidden="false" customHeight="false" outlineLevel="0" collapsed="false">
      <c r="A136" s="16"/>
      <c r="B136" s="14"/>
      <c r="C136" s="9" t="str">
        <f aca="false">IF(B136="","",IFERROR(INDEX(KOLs!$D$2:$D$300,MATCH(B136,KOLs!$A$2:$A$300,0)),"¿KOL no dado de alta?"))</f>
        <v/>
      </c>
      <c r="D136" s="14"/>
      <c r="E136" s="14"/>
      <c r="F136" s="18"/>
      <c r="G136" s="18"/>
      <c r="H136" s="18"/>
      <c r="I136" s="18"/>
      <c r="J136" s="15"/>
      <c r="K136" s="14"/>
    </row>
    <row r="137" customFormat="false" ht="15" hidden="false" customHeight="false" outlineLevel="0" collapsed="false">
      <c r="A137" s="16"/>
      <c r="B137" s="14"/>
      <c r="C137" s="9" t="str">
        <f aca="false">IF(B137="","",IFERROR(INDEX(KOLs!$D$2:$D$300,MATCH(B137,KOLs!$A$2:$A$300,0)),"¿KOL no dado de alta?"))</f>
        <v/>
      </c>
      <c r="D137" s="14"/>
      <c r="E137" s="14"/>
      <c r="F137" s="18"/>
      <c r="G137" s="18"/>
      <c r="H137" s="18"/>
      <c r="I137" s="18"/>
      <c r="J137" s="15"/>
      <c r="K137" s="14"/>
    </row>
    <row r="138" customFormat="false" ht="15" hidden="false" customHeight="false" outlineLevel="0" collapsed="false">
      <c r="A138" s="16"/>
      <c r="B138" s="14"/>
      <c r="C138" s="9" t="str">
        <f aca="false">IF(B138="","",IFERROR(INDEX(KOLs!$D$2:$D$300,MATCH(B138,KOLs!$A$2:$A$300,0)),"¿KOL no dado de alta?"))</f>
        <v/>
      </c>
      <c r="D138" s="14"/>
      <c r="E138" s="14"/>
      <c r="F138" s="18"/>
      <c r="G138" s="18"/>
      <c r="H138" s="18"/>
      <c r="I138" s="18"/>
      <c r="J138" s="15"/>
      <c r="K138" s="14"/>
    </row>
    <row r="139" customFormat="false" ht="15" hidden="false" customHeight="false" outlineLevel="0" collapsed="false">
      <c r="A139" s="16"/>
      <c r="B139" s="14"/>
      <c r="C139" s="9" t="str">
        <f aca="false">IF(B139="","",IFERROR(INDEX(KOLs!$D$2:$D$300,MATCH(B139,KOLs!$A$2:$A$300,0)),"¿KOL no dado de alta?"))</f>
        <v/>
      </c>
      <c r="D139" s="14"/>
      <c r="E139" s="14"/>
      <c r="F139" s="18"/>
      <c r="G139" s="18"/>
      <c r="H139" s="18"/>
      <c r="I139" s="18"/>
      <c r="J139" s="15"/>
      <c r="K139" s="14"/>
    </row>
    <row r="140" customFormat="false" ht="15" hidden="false" customHeight="false" outlineLevel="0" collapsed="false">
      <c r="A140" s="16"/>
      <c r="B140" s="14"/>
      <c r="C140" s="9" t="str">
        <f aca="false">IF(B140="","",IFERROR(INDEX(KOLs!$D$2:$D$300,MATCH(B140,KOLs!$A$2:$A$300,0)),"¿KOL no dado de alta?"))</f>
        <v/>
      </c>
      <c r="D140" s="14"/>
      <c r="E140" s="14"/>
      <c r="F140" s="18"/>
      <c r="G140" s="18"/>
      <c r="H140" s="18"/>
      <c r="I140" s="18"/>
      <c r="J140" s="15"/>
      <c r="K140" s="14"/>
    </row>
    <row r="141" customFormat="false" ht="15" hidden="false" customHeight="false" outlineLevel="0" collapsed="false">
      <c r="A141" s="16"/>
      <c r="B141" s="14"/>
      <c r="C141" s="9" t="str">
        <f aca="false">IF(B141="","",IFERROR(INDEX(KOLs!$D$2:$D$300,MATCH(B141,KOLs!$A$2:$A$300,0)),"¿KOL no dado de alta?"))</f>
        <v/>
      </c>
      <c r="D141" s="14"/>
      <c r="E141" s="14"/>
      <c r="F141" s="18"/>
      <c r="G141" s="18"/>
      <c r="H141" s="18"/>
      <c r="I141" s="18"/>
      <c r="J141" s="15"/>
      <c r="K141" s="14"/>
    </row>
    <row r="142" customFormat="false" ht="15" hidden="false" customHeight="false" outlineLevel="0" collapsed="false">
      <c r="A142" s="16"/>
      <c r="B142" s="14"/>
      <c r="C142" s="9" t="str">
        <f aca="false">IF(B142="","",IFERROR(INDEX(KOLs!$D$2:$D$300,MATCH(B142,KOLs!$A$2:$A$300,0)),"¿KOL no dado de alta?"))</f>
        <v/>
      </c>
      <c r="D142" s="14"/>
      <c r="E142" s="14"/>
      <c r="F142" s="18"/>
      <c r="G142" s="18"/>
      <c r="H142" s="18"/>
      <c r="I142" s="18"/>
      <c r="J142" s="15"/>
      <c r="K142" s="14"/>
    </row>
    <row r="143" customFormat="false" ht="15" hidden="false" customHeight="false" outlineLevel="0" collapsed="false">
      <c r="A143" s="16"/>
      <c r="B143" s="14"/>
      <c r="C143" s="9" t="str">
        <f aca="false">IF(B143="","",IFERROR(INDEX(KOLs!$D$2:$D$300,MATCH(B143,KOLs!$A$2:$A$300,0)),"¿KOL no dado de alta?"))</f>
        <v/>
      </c>
      <c r="D143" s="14"/>
      <c r="E143" s="14"/>
      <c r="F143" s="18"/>
      <c r="G143" s="18"/>
      <c r="H143" s="18"/>
      <c r="I143" s="18"/>
      <c r="J143" s="15"/>
      <c r="K143" s="14"/>
    </row>
    <row r="144" customFormat="false" ht="15" hidden="false" customHeight="false" outlineLevel="0" collapsed="false">
      <c r="A144" s="16"/>
      <c r="B144" s="14"/>
      <c r="C144" s="9" t="str">
        <f aca="false">IF(B144="","",IFERROR(INDEX(KOLs!$D$2:$D$300,MATCH(B144,KOLs!$A$2:$A$300,0)),"¿KOL no dado de alta?"))</f>
        <v/>
      </c>
      <c r="D144" s="14"/>
      <c r="E144" s="14"/>
      <c r="F144" s="18"/>
      <c r="G144" s="18"/>
      <c r="H144" s="18"/>
      <c r="I144" s="18"/>
      <c r="J144" s="15"/>
      <c r="K144" s="14"/>
    </row>
    <row r="145" customFormat="false" ht="15" hidden="false" customHeight="false" outlineLevel="0" collapsed="false">
      <c r="A145" s="16"/>
      <c r="B145" s="14"/>
      <c r="C145" s="9" t="str">
        <f aca="false">IF(B145="","",IFERROR(INDEX(KOLs!$D$2:$D$300,MATCH(B145,KOLs!$A$2:$A$300,0)),"¿KOL no dado de alta?"))</f>
        <v/>
      </c>
      <c r="D145" s="14"/>
      <c r="E145" s="14"/>
      <c r="F145" s="18"/>
      <c r="G145" s="18"/>
      <c r="H145" s="18"/>
      <c r="I145" s="18"/>
      <c r="J145" s="15"/>
      <c r="K145" s="14"/>
    </row>
    <row r="146" customFormat="false" ht="15" hidden="false" customHeight="false" outlineLevel="0" collapsed="false">
      <c r="A146" s="16"/>
      <c r="B146" s="14"/>
      <c r="C146" s="9" t="str">
        <f aca="false">IF(B146="","",IFERROR(INDEX(KOLs!$D$2:$D$300,MATCH(B146,KOLs!$A$2:$A$300,0)),"¿KOL no dado de alta?"))</f>
        <v/>
      </c>
      <c r="D146" s="14"/>
      <c r="E146" s="14"/>
      <c r="F146" s="18"/>
      <c r="G146" s="18"/>
      <c r="H146" s="18"/>
      <c r="I146" s="18"/>
      <c r="J146" s="15"/>
      <c r="K146" s="14"/>
    </row>
    <row r="147" customFormat="false" ht="15" hidden="false" customHeight="false" outlineLevel="0" collapsed="false">
      <c r="A147" s="16"/>
      <c r="B147" s="14"/>
      <c r="C147" s="9" t="str">
        <f aca="false">IF(B147="","",IFERROR(INDEX(KOLs!$D$2:$D$300,MATCH(B147,KOLs!$A$2:$A$300,0)),"¿KOL no dado de alta?"))</f>
        <v/>
      </c>
      <c r="D147" s="14"/>
      <c r="E147" s="14"/>
      <c r="F147" s="18"/>
      <c r="G147" s="18"/>
      <c r="H147" s="18"/>
      <c r="I147" s="18"/>
      <c r="J147" s="15"/>
      <c r="K147" s="14"/>
    </row>
    <row r="148" customFormat="false" ht="15" hidden="false" customHeight="false" outlineLevel="0" collapsed="false">
      <c r="A148" s="16"/>
      <c r="B148" s="14"/>
      <c r="C148" s="9" t="str">
        <f aca="false">IF(B148="","",IFERROR(INDEX(KOLs!$D$2:$D$300,MATCH(B148,KOLs!$A$2:$A$300,0)),"¿KOL no dado de alta?"))</f>
        <v/>
      </c>
      <c r="D148" s="14"/>
      <c r="E148" s="14"/>
      <c r="F148" s="18"/>
      <c r="G148" s="18"/>
      <c r="H148" s="18"/>
      <c r="I148" s="18"/>
      <c r="J148" s="15"/>
      <c r="K148" s="14"/>
    </row>
    <row r="149" customFormat="false" ht="15" hidden="false" customHeight="false" outlineLevel="0" collapsed="false">
      <c r="A149" s="16"/>
      <c r="B149" s="14"/>
      <c r="C149" s="9" t="str">
        <f aca="false">IF(B149="","",IFERROR(INDEX(KOLs!$D$2:$D$300,MATCH(B149,KOLs!$A$2:$A$300,0)),"¿KOL no dado de alta?"))</f>
        <v/>
      </c>
      <c r="D149" s="14"/>
      <c r="E149" s="14"/>
      <c r="F149" s="18"/>
      <c r="G149" s="18"/>
      <c r="H149" s="18"/>
      <c r="I149" s="18"/>
      <c r="J149" s="15"/>
      <c r="K149" s="14"/>
    </row>
    <row r="150" customFormat="false" ht="15" hidden="false" customHeight="false" outlineLevel="0" collapsed="false">
      <c r="A150" s="16"/>
      <c r="B150" s="14"/>
      <c r="C150" s="9" t="str">
        <f aca="false">IF(B150="","",IFERROR(INDEX(KOLs!$D$2:$D$300,MATCH(B150,KOLs!$A$2:$A$300,0)),"¿KOL no dado de alta?"))</f>
        <v/>
      </c>
      <c r="D150" s="14"/>
      <c r="E150" s="14"/>
      <c r="F150" s="18"/>
      <c r="G150" s="18"/>
      <c r="H150" s="18"/>
      <c r="I150" s="18"/>
      <c r="J150" s="15"/>
      <c r="K150" s="14"/>
    </row>
    <row r="151" customFormat="false" ht="15" hidden="false" customHeight="false" outlineLevel="0" collapsed="false">
      <c r="A151" s="16"/>
      <c r="B151" s="14"/>
      <c r="C151" s="9" t="str">
        <f aca="false">IF(B151="","",IFERROR(INDEX(KOLs!$D$2:$D$300,MATCH(B151,KOLs!$A$2:$A$300,0)),"¿KOL no dado de alta?"))</f>
        <v/>
      </c>
      <c r="D151" s="14"/>
      <c r="E151" s="14"/>
      <c r="F151" s="18"/>
      <c r="G151" s="18"/>
      <c r="H151" s="18"/>
      <c r="I151" s="18"/>
      <c r="J151" s="15"/>
      <c r="K151" s="14"/>
    </row>
    <row r="152" customFormat="false" ht="15" hidden="false" customHeight="false" outlineLevel="0" collapsed="false">
      <c r="A152" s="16"/>
      <c r="B152" s="14"/>
      <c r="C152" s="9" t="str">
        <f aca="false">IF(B152="","",IFERROR(INDEX(KOLs!$D$2:$D$300,MATCH(B152,KOLs!$A$2:$A$300,0)),"¿KOL no dado de alta?"))</f>
        <v/>
      </c>
      <c r="D152" s="14"/>
      <c r="E152" s="14"/>
      <c r="F152" s="18"/>
      <c r="G152" s="18"/>
      <c r="H152" s="18"/>
      <c r="I152" s="18"/>
      <c r="J152" s="15"/>
      <c r="K152" s="14"/>
    </row>
    <row r="153" customFormat="false" ht="15" hidden="false" customHeight="false" outlineLevel="0" collapsed="false">
      <c r="A153" s="16"/>
      <c r="B153" s="14"/>
      <c r="C153" s="9" t="str">
        <f aca="false">IF(B153="","",IFERROR(INDEX(KOLs!$D$2:$D$300,MATCH(B153,KOLs!$A$2:$A$300,0)),"¿KOL no dado de alta?"))</f>
        <v/>
      </c>
      <c r="D153" s="14"/>
      <c r="E153" s="14"/>
      <c r="F153" s="18"/>
      <c r="G153" s="18"/>
      <c r="H153" s="18"/>
      <c r="I153" s="18"/>
      <c r="J153" s="15"/>
      <c r="K153" s="14"/>
    </row>
    <row r="154" customFormat="false" ht="15" hidden="false" customHeight="false" outlineLevel="0" collapsed="false">
      <c r="A154" s="16"/>
      <c r="B154" s="14"/>
      <c r="C154" s="9" t="str">
        <f aca="false">IF(B154="","",IFERROR(INDEX(KOLs!$D$2:$D$300,MATCH(B154,KOLs!$A$2:$A$300,0)),"¿KOL no dado de alta?"))</f>
        <v/>
      </c>
      <c r="D154" s="14"/>
      <c r="E154" s="14"/>
      <c r="F154" s="18"/>
      <c r="G154" s="18"/>
      <c r="H154" s="18"/>
      <c r="I154" s="18"/>
      <c r="J154" s="15"/>
      <c r="K154" s="14"/>
    </row>
    <row r="155" customFormat="false" ht="15" hidden="false" customHeight="false" outlineLevel="0" collapsed="false">
      <c r="A155" s="16"/>
      <c r="B155" s="14"/>
      <c r="C155" s="9" t="str">
        <f aca="false">IF(B155="","",IFERROR(INDEX(KOLs!$D$2:$D$300,MATCH(B155,KOLs!$A$2:$A$300,0)),"¿KOL no dado de alta?"))</f>
        <v/>
      </c>
      <c r="D155" s="14"/>
      <c r="E155" s="14"/>
      <c r="F155" s="18"/>
      <c r="G155" s="18"/>
      <c r="H155" s="18"/>
      <c r="I155" s="18"/>
      <c r="J155" s="15"/>
      <c r="K155" s="14"/>
    </row>
    <row r="156" customFormat="false" ht="15" hidden="false" customHeight="false" outlineLevel="0" collapsed="false">
      <c r="A156" s="16"/>
      <c r="B156" s="14"/>
      <c r="C156" s="9" t="str">
        <f aca="false">IF(B156="","",IFERROR(INDEX(KOLs!$D$2:$D$300,MATCH(B156,KOLs!$A$2:$A$300,0)),"¿KOL no dado de alta?"))</f>
        <v/>
      </c>
      <c r="D156" s="14"/>
      <c r="E156" s="14"/>
      <c r="F156" s="18"/>
      <c r="G156" s="18"/>
      <c r="H156" s="18"/>
      <c r="I156" s="18"/>
      <c r="J156" s="15"/>
      <c r="K156" s="14"/>
    </row>
    <row r="157" customFormat="false" ht="15" hidden="false" customHeight="false" outlineLevel="0" collapsed="false">
      <c r="A157" s="16"/>
      <c r="B157" s="14"/>
      <c r="C157" s="9" t="str">
        <f aca="false">IF(B157="","",IFERROR(INDEX(KOLs!$D$2:$D$300,MATCH(B157,KOLs!$A$2:$A$300,0)),"¿KOL no dado de alta?"))</f>
        <v/>
      </c>
      <c r="D157" s="14"/>
      <c r="E157" s="14"/>
      <c r="F157" s="18"/>
      <c r="G157" s="18"/>
      <c r="H157" s="18"/>
      <c r="I157" s="18"/>
      <c r="J157" s="15"/>
      <c r="K157" s="14"/>
    </row>
    <row r="158" customFormat="false" ht="15" hidden="false" customHeight="false" outlineLevel="0" collapsed="false">
      <c r="A158" s="16"/>
      <c r="B158" s="14"/>
      <c r="C158" s="9" t="str">
        <f aca="false">IF(B158="","",IFERROR(INDEX(KOLs!$D$2:$D$300,MATCH(B158,KOLs!$A$2:$A$300,0)),"¿KOL no dado de alta?"))</f>
        <v/>
      </c>
      <c r="D158" s="14"/>
      <c r="E158" s="14"/>
      <c r="F158" s="18"/>
      <c r="G158" s="18"/>
      <c r="H158" s="18"/>
      <c r="I158" s="18"/>
      <c r="J158" s="15"/>
      <c r="K158" s="14"/>
    </row>
    <row r="159" customFormat="false" ht="15" hidden="false" customHeight="false" outlineLevel="0" collapsed="false">
      <c r="A159" s="16"/>
      <c r="B159" s="14"/>
      <c r="C159" s="9" t="str">
        <f aca="false">IF(B159="","",IFERROR(INDEX(KOLs!$D$2:$D$300,MATCH(B159,KOLs!$A$2:$A$300,0)),"¿KOL no dado de alta?"))</f>
        <v/>
      </c>
      <c r="D159" s="14"/>
      <c r="E159" s="14"/>
      <c r="F159" s="18"/>
      <c r="G159" s="18"/>
      <c r="H159" s="18"/>
      <c r="I159" s="18"/>
      <c r="J159" s="15"/>
      <c r="K159" s="14"/>
    </row>
    <row r="160" customFormat="false" ht="15" hidden="false" customHeight="false" outlineLevel="0" collapsed="false">
      <c r="A160" s="16"/>
      <c r="B160" s="14"/>
      <c r="C160" s="9" t="str">
        <f aca="false">IF(B160="","",IFERROR(INDEX(KOLs!$D$2:$D$300,MATCH(B160,KOLs!$A$2:$A$300,0)),"¿KOL no dado de alta?"))</f>
        <v/>
      </c>
      <c r="D160" s="14"/>
      <c r="E160" s="14"/>
      <c r="F160" s="18"/>
      <c r="G160" s="18"/>
      <c r="H160" s="18"/>
      <c r="I160" s="18"/>
      <c r="J160" s="15"/>
      <c r="K160" s="14"/>
    </row>
    <row r="161" customFormat="false" ht="15" hidden="false" customHeight="false" outlineLevel="0" collapsed="false">
      <c r="A161" s="16"/>
      <c r="B161" s="14"/>
      <c r="C161" s="9" t="str">
        <f aca="false">IF(B161="","",IFERROR(INDEX(KOLs!$D$2:$D$300,MATCH(B161,KOLs!$A$2:$A$300,0)),"¿KOL no dado de alta?"))</f>
        <v/>
      </c>
      <c r="D161" s="14"/>
      <c r="E161" s="14"/>
      <c r="F161" s="18"/>
      <c r="G161" s="18"/>
      <c r="H161" s="18"/>
      <c r="I161" s="18"/>
      <c r="J161" s="15"/>
      <c r="K161" s="14"/>
    </row>
    <row r="162" customFormat="false" ht="15" hidden="false" customHeight="false" outlineLevel="0" collapsed="false">
      <c r="A162" s="16"/>
      <c r="B162" s="14"/>
      <c r="C162" s="9" t="str">
        <f aca="false">IF(B162="","",IFERROR(INDEX(KOLs!$D$2:$D$300,MATCH(B162,KOLs!$A$2:$A$300,0)),"¿KOL no dado de alta?"))</f>
        <v/>
      </c>
      <c r="D162" s="14"/>
      <c r="E162" s="14"/>
      <c r="F162" s="18"/>
      <c r="G162" s="18"/>
      <c r="H162" s="18"/>
      <c r="I162" s="18"/>
      <c r="J162" s="15"/>
      <c r="K162" s="14"/>
    </row>
    <row r="163" customFormat="false" ht="15" hidden="false" customHeight="false" outlineLevel="0" collapsed="false">
      <c r="A163" s="16"/>
      <c r="B163" s="14"/>
      <c r="C163" s="9" t="str">
        <f aca="false">IF(B163="","",IFERROR(INDEX(KOLs!$D$2:$D$300,MATCH(B163,KOLs!$A$2:$A$300,0)),"¿KOL no dado de alta?"))</f>
        <v/>
      </c>
      <c r="D163" s="14"/>
      <c r="E163" s="14"/>
      <c r="F163" s="18"/>
      <c r="G163" s="18"/>
      <c r="H163" s="18"/>
      <c r="I163" s="18"/>
      <c r="J163" s="15"/>
      <c r="K163" s="14"/>
    </row>
    <row r="164" customFormat="false" ht="15" hidden="false" customHeight="false" outlineLevel="0" collapsed="false">
      <c r="A164" s="16"/>
      <c r="B164" s="14"/>
      <c r="C164" s="9" t="str">
        <f aca="false">IF(B164="","",IFERROR(INDEX(KOLs!$D$2:$D$300,MATCH(B164,KOLs!$A$2:$A$300,0)),"¿KOL no dado de alta?"))</f>
        <v/>
      </c>
      <c r="D164" s="14"/>
      <c r="E164" s="14"/>
      <c r="F164" s="18"/>
      <c r="G164" s="18"/>
      <c r="H164" s="18"/>
      <c r="I164" s="18"/>
      <c r="J164" s="15"/>
      <c r="K164" s="14"/>
    </row>
    <row r="165" customFormat="false" ht="15" hidden="false" customHeight="false" outlineLevel="0" collapsed="false">
      <c r="A165" s="16"/>
      <c r="B165" s="14"/>
      <c r="C165" s="9" t="str">
        <f aca="false">IF(B165="","",IFERROR(INDEX(KOLs!$D$2:$D$300,MATCH(B165,KOLs!$A$2:$A$300,0)),"¿KOL no dado de alta?"))</f>
        <v/>
      </c>
      <c r="D165" s="14"/>
      <c r="E165" s="14"/>
      <c r="F165" s="18"/>
      <c r="G165" s="18"/>
      <c r="H165" s="18"/>
      <c r="I165" s="18"/>
      <c r="J165" s="15"/>
      <c r="K165" s="14"/>
    </row>
    <row r="166" customFormat="false" ht="15" hidden="false" customHeight="false" outlineLevel="0" collapsed="false">
      <c r="A166" s="16"/>
      <c r="B166" s="14"/>
      <c r="C166" s="9" t="str">
        <f aca="false">IF(B166="","",IFERROR(INDEX(KOLs!$D$2:$D$300,MATCH(B166,KOLs!$A$2:$A$300,0)),"¿KOL no dado de alta?"))</f>
        <v/>
      </c>
      <c r="D166" s="14"/>
      <c r="E166" s="14"/>
      <c r="F166" s="18"/>
      <c r="G166" s="18"/>
      <c r="H166" s="18"/>
      <c r="I166" s="18"/>
      <c r="J166" s="15"/>
      <c r="K166" s="14"/>
    </row>
    <row r="167" customFormat="false" ht="15" hidden="false" customHeight="false" outlineLevel="0" collapsed="false">
      <c r="A167" s="16"/>
      <c r="B167" s="14"/>
      <c r="C167" s="9" t="str">
        <f aca="false">IF(B167="","",IFERROR(INDEX(KOLs!$D$2:$D$300,MATCH(B167,KOLs!$A$2:$A$300,0)),"¿KOL no dado de alta?"))</f>
        <v/>
      </c>
      <c r="D167" s="14"/>
      <c r="E167" s="14"/>
      <c r="F167" s="18"/>
      <c r="G167" s="18"/>
      <c r="H167" s="18"/>
      <c r="I167" s="18"/>
      <c r="J167" s="15"/>
      <c r="K167" s="14"/>
    </row>
    <row r="168" customFormat="false" ht="15" hidden="false" customHeight="false" outlineLevel="0" collapsed="false">
      <c r="A168" s="16"/>
      <c r="B168" s="14"/>
      <c r="C168" s="9" t="str">
        <f aca="false">IF(B168="","",IFERROR(INDEX(KOLs!$D$2:$D$300,MATCH(B168,KOLs!$A$2:$A$300,0)),"¿KOL no dado de alta?"))</f>
        <v/>
      </c>
      <c r="D168" s="14"/>
      <c r="E168" s="14"/>
      <c r="F168" s="18"/>
      <c r="G168" s="18"/>
      <c r="H168" s="18"/>
      <c r="I168" s="18"/>
      <c r="J168" s="15"/>
      <c r="K168" s="14"/>
    </row>
    <row r="169" customFormat="false" ht="15" hidden="false" customHeight="false" outlineLevel="0" collapsed="false">
      <c r="A169" s="16"/>
      <c r="B169" s="14"/>
      <c r="C169" s="9" t="str">
        <f aca="false">IF(B169="","",IFERROR(INDEX(KOLs!$D$2:$D$300,MATCH(B169,KOLs!$A$2:$A$300,0)),"¿KOL no dado de alta?"))</f>
        <v/>
      </c>
      <c r="D169" s="14"/>
      <c r="E169" s="14"/>
      <c r="F169" s="18"/>
      <c r="G169" s="18"/>
      <c r="H169" s="18"/>
      <c r="I169" s="18"/>
      <c r="J169" s="15"/>
      <c r="K169" s="14"/>
    </row>
    <row r="170" customFormat="false" ht="15" hidden="false" customHeight="false" outlineLevel="0" collapsed="false">
      <c r="A170" s="16"/>
      <c r="B170" s="14"/>
      <c r="C170" s="9" t="str">
        <f aca="false">IF(B170="","",IFERROR(INDEX(KOLs!$D$2:$D$300,MATCH(B170,KOLs!$A$2:$A$300,0)),"¿KOL no dado de alta?"))</f>
        <v/>
      </c>
      <c r="D170" s="14"/>
      <c r="E170" s="14"/>
      <c r="F170" s="18"/>
      <c r="G170" s="18"/>
      <c r="H170" s="18"/>
      <c r="I170" s="18"/>
      <c r="J170" s="15"/>
      <c r="K170" s="14"/>
    </row>
    <row r="171" customFormat="false" ht="15" hidden="false" customHeight="false" outlineLevel="0" collapsed="false">
      <c r="A171" s="16"/>
      <c r="B171" s="14"/>
      <c r="C171" s="9" t="str">
        <f aca="false">IF(B171="","",IFERROR(INDEX(KOLs!$D$2:$D$300,MATCH(B171,KOLs!$A$2:$A$300,0)),"¿KOL no dado de alta?"))</f>
        <v/>
      </c>
      <c r="D171" s="14"/>
      <c r="E171" s="14"/>
      <c r="F171" s="18"/>
      <c r="G171" s="18"/>
      <c r="H171" s="18"/>
      <c r="I171" s="18"/>
      <c r="J171" s="15"/>
      <c r="K171" s="14"/>
    </row>
    <row r="172" customFormat="false" ht="15" hidden="false" customHeight="false" outlineLevel="0" collapsed="false">
      <c r="A172" s="16"/>
      <c r="B172" s="14"/>
      <c r="C172" s="9" t="str">
        <f aca="false">IF(B172="","",IFERROR(INDEX(KOLs!$D$2:$D$300,MATCH(B172,KOLs!$A$2:$A$300,0)),"¿KOL no dado de alta?"))</f>
        <v/>
      </c>
      <c r="D172" s="14"/>
      <c r="E172" s="14"/>
      <c r="F172" s="18"/>
      <c r="G172" s="18"/>
      <c r="H172" s="18"/>
      <c r="I172" s="18"/>
      <c r="J172" s="15"/>
      <c r="K172" s="14"/>
    </row>
    <row r="173" customFormat="false" ht="15" hidden="false" customHeight="false" outlineLevel="0" collapsed="false">
      <c r="A173" s="16"/>
      <c r="B173" s="14"/>
      <c r="C173" s="9" t="str">
        <f aca="false">IF(B173="","",IFERROR(INDEX(KOLs!$D$2:$D$300,MATCH(B173,KOLs!$A$2:$A$300,0)),"¿KOL no dado de alta?"))</f>
        <v/>
      </c>
      <c r="D173" s="14"/>
      <c r="E173" s="14"/>
      <c r="F173" s="18"/>
      <c r="G173" s="18"/>
      <c r="H173" s="18"/>
      <c r="I173" s="18"/>
      <c r="J173" s="15"/>
      <c r="K173" s="14"/>
    </row>
    <row r="174" customFormat="false" ht="15" hidden="false" customHeight="false" outlineLevel="0" collapsed="false">
      <c r="A174" s="16"/>
      <c r="B174" s="14"/>
      <c r="C174" s="9" t="str">
        <f aca="false">IF(B174="","",IFERROR(INDEX(KOLs!$D$2:$D$300,MATCH(B174,KOLs!$A$2:$A$300,0)),"¿KOL no dado de alta?"))</f>
        <v/>
      </c>
      <c r="D174" s="14"/>
      <c r="E174" s="14"/>
      <c r="F174" s="18"/>
      <c r="G174" s="18"/>
      <c r="H174" s="18"/>
      <c r="I174" s="18"/>
      <c r="J174" s="15"/>
      <c r="K174" s="14"/>
    </row>
    <row r="175" customFormat="false" ht="15" hidden="false" customHeight="false" outlineLevel="0" collapsed="false">
      <c r="A175" s="16"/>
      <c r="B175" s="14"/>
      <c r="C175" s="9" t="str">
        <f aca="false">IF(B175="","",IFERROR(INDEX(KOLs!$D$2:$D$300,MATCH(B175,KOLs!$A$2:$A$300,0)),"¿KOL no dado de alta?"))</f>
        <v/>
      </c>
      <c r="D175" s="14"/>
      <c r="E175" s="14"/>
      <c r="F175" s="18"/>
      <c r="G175" s="18"/>
      <c r="H175" s="18"/>
      <c r="I175" s="18"/>
      <c r="J175" s="15"/>
      <c r="K175" s="14"/>
    </row>
    <row r="176" customFormat="false" ht="15" hidden="false" customHeight="false" outlineLevel="0" collapsed="false">
      <c r="A176" s="16"/>
      <c r="B176" s="14"/>
      <c r="C176" s="9" t="str">
        <f aca="false">IF(B176="","",IFERROR(INDEX(KOLs!$D$2:$D$300,MATCH(B176,KOLs!$A$2:$A$300,0)),"¿KOL no dado de alta?"))</f>
        <v/>
      </c>
      <c r="D176" s="14"/>
      <c r="E176" s="14"/>
      <c r="F176" s="18"/>
      <c r="G176" s="18"/>
      <c r="H176" s="18"/>
      <c r="I176" s="18"/>
      <c r="J176" s="15"/>
      <c r="K176" s="14"/>
    </row>
    <row r="177" customFormat="false" ht="15" hidden="false" customHeight="false" outlineLevel="0" collapsed="false">
      <c r="A177" s="16"/>
      <c r="B177" s="14"/>
      <c r="C177" s="9" t="str">
        <f aca="false">IF(B177="","",IFERROR(INDEX(KOLs!$D$2:$D$300,MATCH(B177,KOLs!$A$2:$A$300,0)),"¿KOL no dado de alta?"))</f>
        <v/>
      </c>
      <c r="D177" s="14"/>
      <c r="E177" s="14"/>
      <c r="F177" s="18"/>
      <c r="G177" s="18"/>
      <c r="H177" s="18"/>
      <c r="I177" s="18"/>
      <c r="J177" s="15"/>
      <c r="K177" s="14"/>
    </row>
    <row r="178" customFormat="false" ht="15" hidden="false" customHeight="false" outlineLevel="0" collapsed="false">
      <c r="A178" s="16"/>
      <c r="B178" s="14"/>
      <c r="C178" s="9" t="str">
        <f aca="false">IF(B178="","",IFERROR(INDEX(KOLs!$D$2:$D$300,MATCH(B178,KOLs!$A$2:$A$300,0)),"¿KOL no dado de alta?"))</f>
        <v/>
      </c>
      <c r="D178" s="14"/>
      <c r="E178" s="14"/>
      <c r="F178" s="18"/>
      <c r="G178" s="18"/>
      <c r="H178" s="18"/>
      <c r="I178" s="18"/>
      <c r="J178" s="15"/>
      <c r="K178" s="14"/>
    </row>
    <row r="179" customFormat="false" ht="15" hidden="false" customHeight="false" outlineLevel="0" collapsed="false">
      <c r="A179" s="16"/>
      <c r="B179" s="14"/>
      <c r="C179" s="9" t="str">
        <f aca="false">IF(B179="","",IFERROR(INDEX(KOLs!$D$2:$D$300,MATCH(B179,KOLs!$A$2:$A$300,0)),"¿KOL no dado de alta?"))</f>
        <v/>
      </c>
      <c r="D179" s="14"/>
      <c r="E179" s="14"/>
      <c r="F179" s="18"/>
      <c r="G179" s="18"/>
      <c r="H179" s="18"/>
      <c r="I179" s="18"/>
      <c r="J179" s="15"/>
      <c r="K179" s="14"/>
    </row>
    <row r="180" customFormat="false" ht="15" hidden="false" customHeight="false" outlineLevel="0" collapsed="false">
      <c r="A180" s="16"/>
      <c r="B180" s="14"/>
      <c r="C180" s="9" t="str">
        <f aca="false">IF(B180="","",IFERROR(INDEX(KOLs!$D$2:$D$300,MATCH(B180,KOLs!$A$2:$A$300,0)),"¿KOL no dado de alta?"))</f>
        <v/>
      </c>
      <c r="D180" s="14"/>
      <c r="E180" s="14"/>
      <c r="F180" s="18"/>
      <c r="G180" s="18"/>
      <c r="H180" s="18"/>
      <c r="I180" s="18"/>
      <c r="J180" s="15"/>
      <c r="K180" s="14"/>
    </row>
    <row r="181" customFormat="false" ht="15" hidden="false" customHeight="false" outlineLevel="0" collapsed="false">
      <c r="A181" s="16"/>
      <c r="B181" s="14"/>
      <c r="C181" s="9" t="str">
        <f aca="false">IF(B181="","",IFERROR(INDEX(KOLs!$D$2:$D$300,MATCH(B181,KOLs!$A$2:$A$300,0)),"¿KOL no dado de alta?"))</f>
        <v/>
      </c>
      <c r="D181" s="14"/>
      <c r="E181" s="14"/>
      <c r="F181" s="18"/>
      <c r="G181" s="18"/>
      <c r="H181" s="18"/>
      <c r="I181" s="18"/>
      <c r="J181" s="15"/>
      <c r="K181" s="14"/>
    </row>
    <row r="182" customFormat="false" ht="15" hidden="false" customHeight="false" outlineLevel="0" collapsed="false">
      <c r="A182" s="16"/>
      <c r="B182" s="14"/>
      <c r="C182" s="9" t="str">
        <f aca="false">IF(B182="","",IFERROR(INDEX(KOLs!$D$2:$D$300,MATCH(B182,KOLs!$A$2:$A$300,0)),"¿KOL no dado de alta?"))</f>
        <v/>
      </c>
      <c r="D182" s="14"/>
      <c r="E182" s="14"/>
      <c r="F182" s="18"/>
      <c r="G182" s="18"/>
      <c r="H182" s="18"/>
      <c r="I182" s="18"/>
      <c r="J182" s="15"/>
      <c r="K182" s="14"/>
    </row>
    <row r="183" customFormat="false" ht="15" hidden="false" customHeight="false" outlineLevel="0" collapsed="false">
      <c r="A183" s="16"/>
      <c r="B183" s="14"/>
      <c r="C183" s="9" t="str">
        <f aca="false">IF(B183="","",IFERROR(INDEX(KOLs!$D$2:$D$300,MATCH(B183,KOLs!$A$2:$A$300,0)),"¿KOL no dado de alta?"))</f>
        <v/>
      </c>
      <c r="D183" s="14"/>
      <c r="E183" s="14"/>
      <c r="F183" s="18"/>
      <c r="G183" s="18"/>
      <c r="H183" s="18"/>
      <c r="I183" s="18"/>
      <c r="J183" s="15"/>
      <c r="K183" s="14"/>
    </row>
    <row r="184" customFormat="false" ht="15" hidden="false" customHeight="false" outlineLevel="0" collapsed="false">
      <c r="A184" s="16"/>
      <c r="B184" s="14"/>
      <c r="C184" s="9" t="str">
        <f aca="false">IF(B184="","",IFERROR(INDEX(KOLs!$D$2:$D$300,MATCH(B184,KOLs!$A$2:$A$300,0)),"¿KOL no dado de alta?"))</f>
        <v/>
      </c>
      <c r="D184" s="14"/>
      <c r="E184" s="14"/>
      <c r="F184" s="18"/>
      <c r="G184" s="18"/>
      <c r="H184" s="18"/>
      <c r="I184" s="18"/>
      <c r="J184" s="15"/>
      <c r="K184" s="14"/>
    </row>
    <row r="185" customFormat="false" ht="15" hidden="false" customHeight="false" outlineLevel="0" collapsed="false">
      <c r="A185" s="16"/>
      <c r="B185" s="14"/>
      <c r="C185" s="9" t="str">
        <f aca="false">IF(B185="","",IFERROR(INDEX(KOLs!$D$2:$D$300,MATCH(B185,KOLs!$A$2:$A$300,0)),"¿KOL no dado de alta?"))</f>
        <v/>
      </c>
      <c r="D185" s="14"/>
      <c r="E185" s="14"/>
      <c r="F185" s="18"/>
      <c r="G185" s="18"/>
      <c r="H185" s="18"/>
      <c r="I185" s="18"/>
      <c r="J185" s="15"/>
      <c r="K185" s="14"/>
    </row>
    <row r="186" customFormat="false" ht="15" hidden="false" customHeight="false" outlineLevel="0" collapsed="false">
      <c r="A186" s="16"/>
      <c r="B186" s="14"/>
      <c r="C186" s="9" t="str">
        <f aca="false">IF(B186="","",IFERROR(INDEX(KOLs!$D$2:$D$300,MATCH(B186,KOLs!$A$2:$A$300,0)),"¿KOL no dado de alta?"))</f>
        <v/>
      </c>
      <c r="D186" s="14"/>
      <c r="E186" s="14"/>
      <c r="F186" s="18"/>
      <c r="G186" s="18"/>
      <c r="H186" s="18"/>
      <c r="I186" s="18"/>
      <c r="J186" s="15"/>
      <c r="K186" s="14"/>
    </row>
    <row r="187" customFormat="false" ht="15" hidden="false" customHeight="false" outlineLevel="0" collapsed="false">
      <c r="A187" s="16"/>
      <c r="B187" s="14"/>
      <c r="C187" s="9" t="str">
        <f aca="false">IF(B187="","",IFERROR(INDEX(KOLs!$D$2:$D$300,MATCH(B187,KOLs!$A$2:$A$300,0)),"¿KOL no dado de alta?"))</f>
        <v/>
      </c>
      <c r="D187" s="14"/>
      <c r="E187" s="14"/>
      <c r="F187" s="18"/>
      <c r="G187" s="18"/>
      <c r="H187" s="18"/>
      <c r="I187" s="18"/>
      <c r="J187" s="15"/>
      <c r="K187" s="14"/>
    </row>
    <row r="188" customFormat="false" ht="15" hidden="false" customHeight="false" outlineLevel="0" collapsed="false">
      <c r="A188" s="16"/>
      <c r="B188" s="14"/>
      <c r="C188" s="9" t="str">
        <f aca="false">IF(B188="","",IFERROR(INDEX(KOLs!$D$2:$D$300,MATCH(B188,KOLs!$A$2:$A$300,0)),"¿KOL no dado de alta?"))</f>
        <v/>
      </c>
      <c r="D188" s="14"/>
      <c r="E188" s="14"/>
      <c r="F188" s="18"/>
      <c r="G188" s="18"/>
      <c r="H188" s="18"/>
      <c r="I188" s="18"/>
      <c r="J188" s="15"/>
      <c r="K188" s="14"/>
    </row>
    <row r="189" customFormat="false" ht="15" hidden="false" customHeight="false" outlineLevel="0" collapsed="false">
      <c r="A189" s="16"/>
      <c r="B189" s="14"/>
      <c r="C189" s="9" t="str">
        <f aca="false">IF(B189="","",IFERROR(INDEX(KOLs!$D$2:$D$300,MATCH(B189,KOLs!$A$2:$A$300,0)),"¿KOL no dado de alta?"))</f>
        <v/>
      </c>
      <c r="D189" s="14"/>
      <c r="E189" s="14"/>
      <c r="F189" s="18"/>
      <c r="G189" s="18"/>
      <c r="H189" s="18"/>
      <c r="I189" s="18"/>
      <c r="J189" s="15"/>
      <c r="K189" s="14"/>
    </row>
    <row r="190" customFormat="false" ht="15" hidden="false" customHeight="false" outlineLevel="0" collapsed="false">
      <c r="A190" s="16"/>
      <c r="B190" s="14"/>
      <c r="C190" s="9" t="str">
        <f aca="false">IF(B190="","",IFERROR(INDEX(KOLs!$D$2:$D$300,MATCH(B190,KOLs!$A$2:$A$300,0)),"¿KOL no dado de alta?"))</f>
        <v/>
      </c>
      <c r="D190" s="14"/>
      <c r="E190" s="14"/>
      <c r="F190" s="18"/>
      <c r="G190" s="18"/>
      <c r="H190" s="18"/>
      <c r="I190" s="18"/>
      <c r="J190" s="15"/>
      <c r="K190" s="14"/>
    </row>
    <row r="191" customFormat="false" ht="15" hidden="false" customHeight="false" outlineLevel="0" collapsed="false">
      <c r="A191" s="16"/>
      <c r="B191" s="14"/>
      <c r="C191" s="9" t="str">
        <f aca="false">IF(B191="","",IFERROR(INDEX(KOLs!$D$2:$D$300,MATCH(B191,KOLs!$A$2:$A$300,0)),"¿KOL no dado de alta?"))</f>
        <v/>
      </c>
      <c r="D191" s="14"/>
      <c r="E191" s="14"/>
      <c r="F191" s="18"/>
      <c r="G191" s="18"/>
      <c r="H191" s="18"/>
      <c r="I191" s="18"/>
      <c r="J191" s="15"/>
      <c r="K191" s="14"/>
    </row>
    <row r="192" customFormat="false" ht="15" hidden="false" customHeight="false" outlineLevel="0" collapsed="false">
      <c r="A192" s="16"/>
      <c r="B192" s="14"/>
      <c r="C192" s="9" t="str">
        <f aca="false">IF(B192="","",IFERROR(INDEX(KOLs!$D$2:$D$300,MATCH(B192,KOLs!$A$2:$A$300,0)),"¿KOL no dado de alta?"))</f>
        <v/>
      </c>
      <c r="D192" s="14"/>
      <c r="E192" s="14"/>
      <c r="F192" s="18"/>
      <c r="G192" s="18"/>
      <c r="H192" s="18"/>
      <c r="I192" s="18"/>
      <c r="J192" s="15"/>
      <c r="K192" s="14"/>
    </row>
    <row r="193" customFormat="false" ht="15" hidden="false" customHeight="false" outlineLevel="0" collapsed="false">
      <c r="A193" s="16"/>
      <c r="B193" s="14"/>
      <c r="C193" s="9" t="str">
        <f aca="false">IF(B193="","",IFERROR(INDEX(KOLs!$D$2:$D$300,MATCH(B193,KOLs!$A$2:$A$300,0)),"¿KOL no dado de alta?"))</f>
        <v/>
      </c>
      <c r="D193" s="14"/>
      <c r="E193" s="14"/>
      <c r="F193" s="18"/>
      <c r="G193" s="18"/>
      <c r="H193" s="18"/>
      <c r="I193" s="18"/>
      <c r="J193" s="15"/>
      <c r="K193" s="14"/>
    </row>
    <row r="194" customFormat="false" ht="15" hidden="false" customHeight="false" outlineLevel="0" collapsed="false">
      <c r="A194" s="16"/>
      <c r="B194" s="14"/>
      <c r="C194" s="9" t="str">
        <f aca="false">IF(B194="","",IFERROR(INDEX(KOLs!$D$2:$D$300,MATCH(B194,KOLs!$A$2:$A$300,0)),"¿KOL no dado de alta?"))</f>
        <v/>
      </c>
      <c r="D194" s="14"/>
      <c r="E194" s="14"/>
      <c r="F194" s="18"/>
      <c r="G194" s="18"/>
      <c r="H194" s="18"/>
      <c r="I194" s="18"/>
      <c r="J194" s="15"/>
      <c r="K194" s="14"/>
    </row>
    <row r="195" customFormat="false" ht="15" hidden="false" customHeight="false" outlineLevel="0" collapsed="false">
      <c r="A195" s="16"/>
      <c r="B195" s="14"/>
      <c r="C195" s="9" t="str">
        <f aca="false">IF(B195="","",IFERROR(INDEX(KOLs!$D$2:$D$300,MATCH(B195,KOLs!$A$2:$A$300,0)),"¿KOL no dado de alta?"))</f>
        <v/>
      </c>
      <c r="D195" s="14"/>
      <c r="E195" s="14"/>
      <c r="F195" s="18"/>
      <c r="G195" s="18"/>
      <c r="H195" s="18"/>
      <c r="I195" s="18"/>
      <c r="J195" s="15"/>
      <c r="K195" s="14"/>
    </row>
    <row r="196" customFormat="false" ht="15" hidden="false" customHeight="false" outlineLevel="0" collapsed="false">
      <c r="A196" s="16"/>
      <c r="B196" s="14"/>
      <c r="C196" s="9" t="str">
        <f aca="false">IF(B196="","",IFERROR(INDEX(KOLs!$D$2:$D$300,MATCH(B196,KOLs!$A$2:$A$300,0)),"¿KOL no dado de alta?"))</f>
        <v/>
      </c>
      <c r="D196" s="14"/>
      <c r="E196" s="14"/>
      <c r="F196" s="18"/>
      <c r="G196" s="18"/>
      <c r="H196" s="18"/>
      <c r="I196" s="18"/>
      <c r="J196" s="15"/>
      <c r="K196" s="14"/>
    </row>
    <row r="197" customFormat="false" ht="15" hidden="false" customHeight="false" outlineLevel="0" collapsed="false">
      <c r="A197" s="16"/>
      <c r="B197" s="14"/>
      <c r="C197" s="9" t="str">
        <f aca="false">IF(B197="","",IFERROR(INDEX(KOLs!$D$2:$D$300,MATCH(B197,KOLs!$A$2:$A$300,0)),"¿KOL no dado de alta?"))</f>
        <v/>
      </c>
      <c r="D197" s="14"/>
      <c r="E197" s="14"/>
      <c r="F197" s="18"/>
      <c r="G197" s="18"/>
      <c r="H197" s="18"/>
      <c r="I197" s="18"/>
      <c r="J197" s="15"/>
      <c r="K197" s="14"/>
    </row>
    <row r="198" customFormat="false" ht="15" hidden="false" customHeight="false" outlineLevel="0" collapsed="false">
      <c r="A198" s="16"/>
      <c r="B198" s="14"/>
      <c r="C198" s="9" t="str">
        <f aca="false">IF(B198="","",IFERROR(INDEX(KOLs!$D$2:$D$300,MATCH(B198,KOLs!$A$2:$A$300,0)),"¿KOL no dado de alta?"))</f>
        <v/>
      </c>
      <c r="D198" s="14"/>
      <c r="E198" s="14"/>
      <c r="F198" s="18"/>
      <c r="G198" s="18"/>
      <c r="H198" s="18"/>
      <c r="I198" s="18"/>
      <c r="J198" s="15"/>
      <c r="K198" s="14"/>
    </row>
    <row r="199" customFormat="false" ht="15" hidden="false" customHeight="false" outlineLevel="0" collapsed="false">
      <c r="A199" s="16"/>
      <c r="B199" s="14"/>
      <c r="C199" s="9" t="str">
        <f aca="false">IF(B199="","",IFERROR(INDEX(KOLs!$D$2:$D$300,MATCH(B199,KOLs!$A$2:$A$300,0)),"¿KOL no dado de alta?"))</f>
        <v/>
      </c>
      <c r="D199" s="14"/>
      <c r="E199" s="14"/>
      <c r="F199" s="18"/>
      <c r="G199" s="18"/>
      <c r="H199" s="18"/>
      <c r="I199" s="18"/>
      <c r="J199" s="15"/>
      <c r="K199" s="14"/>
    </row>
    <row r="200" customFormat="false" ht="15" hidden="false" customHeight="false" outlineLevel="0" collapsed="false">
      <c r="A200" s="16"/>
      <c r="B200" s="14"/>
      <c r="C200" s="9" t="str">
        <f aca="false">IF(B200="","",IFERROR(INDEX(KOLs!$D$2:$D$300,MATCH(B200,KOLs!$A$2:$A$300,0)),"¿KOL no dado de alta?"))</f>
        <v/>
      </c>
      <c r="D200" s="14"/>
      <c r="E200" s="14"/>
      <c r="F200" s="18"/>
      <c r="G200" s="18"/>
      <c r="H200" s="18"/>
      <c r="I200" s="18"/>
      <c r="J200" s="15"/>
      <c r="K200" s="14"/>
    </row>
    <row r="201" customFormat="false" ht="15" hidden="false" customHeight="false" outlineLevel="0" collapsed="false">
      <c r="A201" s="16"/>
      <c r="B201" s="14"/>
      <c r="C201" s="9" t="str">
        <f aca="false">IF(B201="","",IFERROR(INDEX(KOLs!$D$2:$D$300,MATCH(B201,KOLs!$A$2:$A$300,0)),"¿KOL no dado de alta?"))</f>
        <v/>
      </c>
      <c r="D201" s="14"/>
      <c r="E201" s="14"/>
      <c r="F201" s="18"/>
      <c r="G201" s="18"/>
      <c r="H201" s="18"/>
      <c r="I201" s="18"/>
      <c r="J201" s="15"/>
      <c r="K201" s="14"/>
    </row>
    <row r="202" customFormat="false" ht="15" hidden="false" customHeight="false" outlineLevel="0" collapsed="false">
      <c r="A202" s="16"/>
      <c r="B202" s="14"/>
      <c r="C202" s="9" t="str">
        <f aca="false">IF(B202="","",IFERROR(INDEX(KOLs!$D$2:$D$300,MATCH(B202,KOLs!$A$2:$A$300,0)),"¿KOL no dado de alta?"))</f>
        <v/>
      </c>
      <c r="D202" s="14"/>
      <c r="E202" s="14"/>
      <c r="F202" s="18"/>
      <c r="G202" s="18"/>
      <c r="H202" s="18"/>
      <c r="I202" s="18"/>
      <c r="J202" s="15"/>
      <c r="K202" s="14"/>
    </row>
    <row r="203" customFormat="false" ht="15" hidden="false" customHeight="false" outlineLevel="0" collapsed="false">
      <c r="A203" s="16"/>
      <c r="B203" s="14"/>
      <c r="C203" s="9" t="str">
        <f aca="false">IF(B203="","",IFERROR(INDEX(KOLs!$D$2:$D$300,MATCH(B203,KOLs!$A$2:$A$300,0)),"¿KOL no dado de alta?"))</f>
        <v/>
      </c>
      <c r="D203" s="14"/>
      <c r="E203" s="14"/>
      <c r="F203" s="18"/>
      <c r="G203" s="18"/>
      <c r="H203" s="18"/>
      <c r="I203" s="18"/>
      <c r="J203" s="15"/>
      <c r="K203" s="14"/>
    </row>
    <row r="204" customFormat="false" ht="15" hidden="false" customHeight="false" outlineLevel="0" collapsed="false">
      <c r="A204" s="16"/>
      <c r="B204" s="14"/>
      <c r="C204" s="9" t="str">
        <f aca="false">IF(B204="","",IFERROR(INDEX(KOLs!$D$2:$D$300,MATCH(B204,KOLs!$A$2:$A$300,0)),"¿KOL no dado de alta?"))</f>
        <v/>
      </c>
      <c r="D204" s="14"/>
      <c r="E204" s="14"/>
      <c r="F204" s="18"/>
      <c r="G204" s="18"/>
      <c r="H204" s="18"/>
      <c r="I204" s="18"/>
      <c r="J204" s="15"/>
      <c r="K204" s="14"/>
    </row>
    <row r="205" customFormat="false" ht="15" hidden="false" customHeight="false" outlineLevel="0" collapsed="false">
      <c r="A205" s="16"/>
      <c r="B205" s="14"/>
      <c r="C205" s="9" t="str">
        <f aca="false">IF(B205="","",IFERROR(INDEX(KOLs!$D$2:$D$300,MATCH(B205,KOLs!$A$2:$A$300,0)),"¿KOL no dado de alta?"))</f>
        <v/>
      </c>
      <c r="D205" s="14"/>
      <c r="E205" s="14"/>
      <c r="F205" s="18"/>
      <c r="G205" s="18"/>
      <c r="H205" s="18"/>
      <c r="I205" s="18"/>
      <c r="J205" s="15"/>
      <c r="K205" s="14"/>
    </row>
    <row r="206" customFormat="false" ht="15" hidden="false" customHeight="false" outlineLevel="0" collapsed="false">
      <c r="A206" s="16"/>
      <c r="B206" s="14"/>
      <c r="C206" s="9" t="str">
        <f aca="false">IF(B206="","",IFERROR(INDEX(KOLs!$D$2:$D$300,MATCH(B206,KOLs!$A$2:$A$300,0)),"¿KOL no dado de alta?"))</f>
        <v/>
      </c>
      <c r="D206" s="14"/>
      <c r="E206" s="14"/>
      <c r="F206" s="18"/>
      <c r="G206" s="18"/>
      <c r="H206" s="18"/>
      <c r="I206" s="18"/>
      <c r="J206" s="15"/>
      <c r="K206" s="14"/>
    </row>
    <row r="207" customFormat="false" ht="15" hidden="false" customHeight="false" outlineLevel="0" collapsed="false">
      <c r="A207" s="16"/>
      <c r="B207" s="14"/>
      <c r="C207" s="9" t="str">
        <f aca="false">IF(B207="","",IFERROR(INDEX(KOLs!$D$2:$D$300,MATCH(B207,KOLs!$A$2:$A$300,0)),"¿KOL no dado de alta?"))</f>
        <v/>
      </c>
      <c r="D207" s="14"/>
      <c r="E207" s="14"/>
      <c r="F207" s="18"/>
      <c r="G207" s="18"/>
      <c r="H207" s="18"/>
      <c r="I207" s="18"/>
      <c r="J207" s="15"/>
      <c r="K207" s="14"/>
    </row>
    <row r="208" customFormat="false" ht="15" hidden="false" customHeight="false" outlineLevel="0" collapsed="false">
      <c r="A208" s="16"/>
      <c r="B208" s="14"/>
      <c r="C208" s="9" t="str">
        <f aca="false">IF(B208="","",IFERROR(INDEX(KOLs!$D$2:$D$300,MATCH(B208,KOLs!$A$2:$A$300,0)),"¿KOL no dado de alta?"))</f>
        <v/>
      </c>
      <c r="D208" s="14"/>
      <c r="E208" s="14"/>
      <c r="F208" s="18"/>
      <c r="G208" s="18"/>
      <c r="H208" s="18"/>
      <c r="I208" s="18"/>
      <c r="J208" s="15"/>
      <c r="K208" s="14"/>
    </row>
    <row r="209" customFormat="false" ht="15" hidden="false" customHeight="false" outlineLevel="0" collapsed="false">
      <c r="A209" s="16"/>
      <c r="B209" s="14"/>
      <c r="C209" s="9" t="str">
        <f aca="false">IF(B209="","",IFERROR(INDEX(KOLs!$D$2:$D$300,MATCH(B209,KOLs!$A$2:$A$300,0)),"¿KOL no dado de alta?"))</f>
        <v/>
      </c>
      <c r="D209" s="14"/>
      <c r="E209" s="14"/>
      <c r="F209" s="18"/>
      <c r="G209" s="18"/>
      <c r="H209" s="18"/>
      <c r="I209" s="18"/>
      <c r="J209" s="15"/>
      <c r="K209" s="14"/>
    </row>
    <row r="210" customFormat="false" ht="15" hidden="false" customHeight="false" outlineLevel="0" collapsed="false">
      <c r="A210" s="16"/>
      <c r="B210" s="14"/>
      <c r="C210" s="9" t="str">
        <f aca="false">IF(B210="","",IFERROR(INDEX(KOLs!$D$2:$D$300,MATCH(B210,KOLs!$A$2:$A$300,0)),"¿KOL no dado de alta?"))</f>
        <v/>
      </c>
      <c r="D210" s="14"/>
      <c r="E210" s="14"/>
      <c r="F210" s="18"/>
      <c r="G210" s="18"/>
      <c r="H210" s="18"/>
      <c r="I210" s="18"/>
      <c r="J210" s="15"/>
      <c r="K210" s="14"/>
    </row>
    <row r="211" customFormat="false" ht="15" hidden="false" customHeight="false" outlineLevel="0" collapsed="false">
      <c r="A211" s="16"/>
      <c r="B211" s="14"/>
      <c r="C211" s="9" t="str">
        <f aca="false">IF(B211="","",IFERROR(INDEX(KOLs!$D$2:$D$300,MATCH(B211,KOLs!$A$2:$A$300,0)),"¿KOL no dado de alta?"))</f>
        <v/>
      </c>
      <c r="D211" s="14"/>
      <c r="E211" s="14"/>
      <c r="F211" s="18"/>
      <c r="G211" s="18"/>
      <c r="H211" s="18"/>
      <c r="I211" s="18"/>
      <c r="J211" s="15"/>
      <c r="K211" s="14"/>
    </row>
    <row r="212" customFormat="false" ht="15" hidden="false" customHeight="false" outlineLevel="0" collapsed="false">
      <c r="A212" s="16"/>
      <c r="B212" s="14"/>
      <c r="C212" s="9" t="str">
        <f aca="false">IF(B212="","",IFERROR(INDEX(KOLs!$D$2:$D$300,MATCH(B212,KOLs!$A$2:$A$300,0)),"¿KOL no dado de alta?"))</f>
        <v/>
      </c>
      <c r="D212" s="14"/>
      <c r="E212" s="14"/>
      <c r="F212" s="18"/>
      <c r="G212" s="18"/>
      <c r="H212" s="18"/>
      <c r="I212" s="18"/>
      <c r="J212" s="15"/>
      <c r="K212" s="14"/>
    </row>
    <row r="213" customFormat="false" ht="15" hidden="false" customHeight="false" outlineLevel="0" collapsed="false">
      <c r="A213" s="16"/>
      <c r="B213" s="14"/>
      <c r="C213" s="9" t="str">
        <f aca="false">IF(B213="","",IFERROR(INDEX(KOLs!$D$2:$D$300,MATCH(B213,KOLs!$A$2:$A$300,0)),"¿KOL no dado de alta?"))</f>
        <v/>
      </c>
      <c r="D213" s="14"/>
      <c r="E213" s="14"/>
      <c r="F213" s="18"/>
      <c r="G213" s="18"/>
      <c r="H213" s="18"/>
      <c r="I213" s="18"/>
      <c r="J213" s="15"/>
      <c r="K213" s="14"/>
    </row>
    <row r="214" customFormat="false" ht="15" hidden="false" customHeight="false" outlineLevel="0" collapsed="false">
      <c r="A214" s="16"/>
      <c r="B214" s="14"/>
      <c r="C214" s="9" t="str">
        <f aca="false">IF(B214="","",IFERROR(INDEX(KOLs!$D$2:$D$300,MATCH(B214,KOLs!$A$2:$A$300,0)),"¿KOL no dado de alta?"))</f>
        <v/>
      </c>
      <c r="D214" s="14"/>
      <c r="E214" s="14"/>
      <c r="F214" s="18"/>
      <c r="G214" s="18"/>
      <c r="H214" s="18"/>
      <c r="I214" s="18"/>
      <c r="J214" s="15"/>
      <c r="K214" s="14"/>
    </row>
    <row r="215" customFormat="false" ht="15" hidden="false" customHeight="false" outlineLevel="0" collapsed="false">
      <c r="A215" s="16"/>
      <c r="B215" s="14"/>
      <c r="C215" s="9" t="str">
        <f aca="false">IF(B215="","",IFERROR(INDEX(KOLs!$D$2:$D$300,MATCH(B215,KOLs!$A$2:$A$300,0)),"¿KOL no dado de alta?"))</f>
        <v/>
      </c>
      <c r="D215" s="14"/>
      <c r="E215" s="14"/>
      <c r="F215" s="18"/>
      <c r="G215" s="18"/>
      <c r="H215" s="18"/>
      <c r="I215" s="18"/>
      <c r="J215" s="15"/>
      <c r="K215" s="14"/>
    </row>
    <row r="216" customFormat="false" ht="15" hidden="false" customHeight="false" outlineLevel="0" collapsed="false">
      <c r="A216" s="16"/>
      <c r="B216" s="14"/>
      <c r="C216" s="9" t="str">
        <f aca="false">IF(B216="","",IFERROR(INDEX(KOLs!$D$2:$D$300,MATCH(B216,KOLs!$A$2:$A$300,0)),"¿KOL no dado de alta?"))</f>
        <v/>
      </c>
      <c r="D216" s="14"/>
      <c r="E216" s="14"/>
      <c r="F216" s="18"/>
      <c r="G216" s="18"/>
      <c r="H216" s="18"/>
      <c r="I216" s="18"/>
      <c r="J216" s="15"/>
      <c r="K216" s="14"/>
    </row>
    <row r="217" customFormat="false" ht="15" hidden="false" customHeight="false" outlineLevel="0" collapsed="false">
      <c r="A217" s="16"/>
      <c r="B217" s="14"/>
      <c r="C217" s="9" t="str">
        <f aca="false">IF(B217="","",IFERROR(INDEX(KOLs!$D$2:$D$300,MATCH(B217,KOLs!$A$2:$A$300,0)),"¿KOL no dado de alta?"))</f>
        <v/>
      </c>
      <c r="D217" s="14"/>
      <c r="E217" s="14"/>
      <c r="F217" s="18"/>
      <c r="G217" s="18"/>
      <c r="H217" s="18"/>
      <c r="I217" s="18"/>
      <c r="J217" s="15"/>
      <c r="K217" s="14"/>
    </row>
    <row r="218" customFormat="false" ht="15" hidden="false" customHeight="false" outlineLevel="0" collapsed="false">
      <c r="A218" s="16"/>
      <c r="B218" s="14"/>
      <c r="C218" s="9" t="str">
        <f aca="false">IF(B218="","",IFERROR(INDEX(KOLs!$D$2:$D$300,MATCH(B218,KOLs!$A$2:$A$300,0)),"¿KOL no dado de alta?"))</f>
        <v/>
      </c>
      <c r="D218" s="14"/>
      <c r="E218" s="14"/>
      <c r="F218" s="18"/>
      <c r="G218" s="18"/>
      <c r="H218" s="18"/>
      <c r="I218" s="18"/>
      <c r="J218" s="15"/>
      <c r="K218" s="14"/>
    </row>
    <row r="219" customFormat="false" ht="15" hidden="false" customHeight="false" outlineLevel="0" collapsed="false">
      <c r="A219" s="16"/>
      <c r="B219" s="14"/>
      <c r="C219" s="9" t="str">
        <f aca="false">IF(B219="","",IFERROR(INDEX(KOLs!$D$2:$D$300,MATCH(B219,KOLs!$A$2:$A$300,0)),"¿KOL no dado de alta?"))</f>
        <v/>
      </c>
      <c r="D219" s="14"/>
      <c r="E219" s="14"/>
      <c r="F219" s="18"/>
      <c r="G219" s="18"/>
      <c r="H219" s="18"/>
      <c r="I219" s="18"/>
      <c r="J219" s="15"/>
      <c r="K219" s="14"/>
    </row>
    <row r="220" customFormat="false" ht="15" hidden="false" customHeight="false" outlineLevel="0" collapsed="false">
      <c r="A220" s="16"/>
      <c r="B220" s="14"/>
      <c r="C220" s="9" t="str">
        <f aca="false">IF(B220="","",IFERROR(INDEX(KOLs!$D$2:$D$300,MATCH(B220,KOLs!$A$2:$A$300,0)),"¿KOL no dado de alta?"))</f>
        <v/>
      </c>
      <c r="D220" s="14"/>
      <c r="E220" s="14"/>
      <c r="F220" s="18"/>
      <c r="G220" s="18"/>
      <c r="H220" s="18"/>
      <c r="I220" s="18"/>
      <c r="J220" s="15"/>
      <c r="K220" s="14"/>
    </row>
    <row r="221" customFormat="false" ht="15" hidden="false" customHeight="false" outlineLevel="0" collapsed="false">
      <c r="A221" s="16"/>
      <c r="B221" s="14"/>
      <c r="C221" s="9" t="str">
        <f aca="false">IF(B221="","",IFERROR(INDEX(KOLs!$D$2:$D$300,MATCH(B221,KOLs!$A$2:$A$300,0)),"¿KOL no dado de alta?"))</f>
        <v/>
      </c>
      <c r="D221" s="14"/>
      <c r="E221" s="14"/>
      <c r="F221" s="18"/>
      <c r="G221" s="18"/>
      <c r="H221" s="18"/>
      <c r="I221" s="18"/>
      <c r="J221" s="15"/>
      <c r="K221" s="14"/>
    </row>
    <row r="222" customFormat="false" ht="15" hidden="false" customHeight="false" outlineLevel="0" collapsed="false">
      <c r="A222" s="16"/>
      <c r="B222" s="14"/>
      <c r="C222" s="9" t="str">
        <f aca="false">IF(B222="","",IFERROR(INDEX(KOLs!$D$2:$D$300,MATCH(B222,KOLs!$A$2:$A$300,0)),"¿KOL no dado de alta?"))</f>
        <v/>
      </c>
      <c r="D222" s="14"/>
      <c r="E222" s="14"/>
      <c r="F222" s="18"/>
      <c r="G222" s="18"/>
      <c r="H222" s="18"/>
      <c r="I222" s="18"/>
      <c r="J222" s="15"/>
      <c r="K222" s="14"/>
    </row>
    <row r="223" customFormat="false" ht="15" hidden="false" customHeight="false" outlineLevel="0" collapsed="false">
      <c r="A223" s="16"/>
      <c r="B223" s="14"/>
      <c r="C223" s="9" t="str">
        <f aca="false">IF(B223="","",IFERROR(INDEX(KOLs!$D$2:$D$300,MATCH(B223,KOLs!$A$2:$A$300,0)),"¿KOL no dado de alta?"))</f>
        <v/>
      </c>
      <c r="D223" s="14"/>
      <c r="E223" s="14"/>
      <c r="F223" s="18"/>
      <c r="G223" s="18"/>
      <c r="H223" s="18"/>
      <c r="I223" s="18"/>
      <c r="J223" s="15"/>
      <c r="K223" s="14"/>
    </row>
    <row r="224" customFormat="false" ht="15" hidden="false" customHeight="false" outlineLevel="0" collapsed="false">
      <c r="A224" s="16"/>
      <c r="B224" s="14"/>
      <c r="C224" s="9" t="str">
        <f aca="false">IF(B224="","",IFERROR(INDEX(KOLs!$D$2:$D$300,MATCH(B224,KOLs!$A$2:$A$300,0)),"¿KOL no dado de alta?"))</f>
        <v/>
      </c>
      <c r="D224" s="14"/>
      <c r="E224" s="14"/>
      <c r="F224" s="18"/>
      <c r="G224" s="18"/>
      <c r="H224" s="18"/>
      <c r="I224" s="18"/>
      <c r="J224" s="15"/>
      <c r="K224" s="14"/>
    </row>
    <row r="225" customFormat="false" ht="15" hidden="false" customHeight="false" outlineLevel="0" collapsed="false">
      <c r="A225" s="16"/>
      <c r="B225" s="14"/>
      <c r="C225" s="9" t="str">
        <f aca="false">IF(B225="","",IFERROR(INDEX(KOLs!$D$2:$D$300,MATCH(B225,KOLs!$A$2:$A$300,0)),"¿KOL no dado de alta?"))</f>
        <v/>
      </c>
      <c r="D225" s="14"/>
      <c r="E225" s="14"/>
      <c r="F225" s="18"/>
      <c r="G225" s="18"/>
      <c r="H225" s="18"/>
      <c r="I225" s="18"/>
      <c r="J225" s="15"/>
      <c r="K225" s="14"/>
    </row>
    <row r="226" customFormat="false" ht="15" hidden="false" customHeight="false" outlineLevel="0" collapsed="false">
      <c r="A226" s="16"/>
      <c r="B226" s="14"/>
      <c r="C226" s="9" t="str">
        <f aca="false">IF(B226="","",IFERROR(INDEX(KOLs!$D$2:$D$300,MATCH(B226,KOLs!$A$2:$A$300,0)),"¿KOL no dado de alta?"))</f>
        <v/>
      </c>
      <c r="D226" s="14"/>
      <c r="E226" s="14"/>
      <c r="F226" s="18"/>
      <c r="G226" s="18"/>
      <c r="H226" s="18"/>
      <c r="I226" s="18"/>
      <c r="J226" s="15"/>
      <c r="K226" s="14"/>
    </row>
    <row r="227" customFormat="false" ht="15" hidden="false" customHeight="false" outlineLevel="0" collapsed="false">
      <c r="A227" s="16"/>
      <c r="B227" s="14"/>
      <c r="C227" s="9" t="str">
        <f aca="false">IF(B227="","",IFERROR(INDEX(KOLs!$D$2:$D$300,MATCH(B227,KOLs!$A$2:$A$300,0)),"¿KOL no dado de alta?"))</f>
        <v/>
      </c>
      <c r="D227" s="14"/>
      <c r="E227" s="14"/>
      <c r="F227" s="18"/>
      <c r="G227" s="18"/>
      <c r="H227" s="18"/>
      <c r="I227" s="18"/>
      <c r="J227" s="15"/>
      <c r="K227" s="14"/>
    </row>
    <row r="228" customFormat="false" ht="15" hidden="false" customHeight="false" outlineLevel="0" collapsed="false">
      <c r="A228" s="16"/>
      <c r="B228" s="14"/>
      <c r="C228" s="9" t="str">
        <f aca="false">IF(B228="","",IFERROR(INDEX(KOLs!$D$2:$D$300,MATCH(B228,KOLs!$A$2:$A$300,0)),"¿KOL no dado de alta?"))</f>
        <v/>
      </c>
      <c r="D228" s="14"/>
      <c r="E228" s="14"/>
      <c r="F228" s="18"/>
      <c r="G228" s="18"/>
      <c r="H228" s="18"/>
      <c r="I228" s="18"/>
      <c r="J228" s="15"/>
      <c r="K228" s="14"/>
    </row>
    <row r="229" customFormat="false" ht="15" hidden="false" customHeight="false" outlineLevel="0" collapsed="false">
      <c r="A229" s="16"/>
      <c r="B229" s="14"/>
      <c r="C229" s="9" t="str">
        <f aca="false">IF(B229="","",IFERROR(INDEX(KOLs!$D$2:$D$300,MATCH(B229,KOLs!$A$2:$A$300,0)),"¿KOL no dado de alta?"))</f>
        <v/>
      </c>
      <c r="D229" s="14"/>
      <c r="E229" s="14"/>
      <c r="F229" s="18"/>
      <c r="G229" s="18"/>
      <c r="H229" s="18"/>
      <c r="I229" s="18"/>
      <c r="J229" s="15"/>
      <c r="K229" s="14"/>
    </row>
    <row r="230" customFormat="false" ht="15" hidden="false" customHeight="false" outlineLevel="0" collapsed="false">
      <c r="A230" s="16"/>
      <c r="B230" s="14"/>
      <c r="C230" s="9" t="str">
        <f aca="false">IF(B230="","",IFERROR(INDEX(KOLs!$D$2:$D$300,MATCH(B230,KOLs!$A$2:$A$300,0)),"¿KOL no dado de alta?"))</f>
        <v/>
      </c>
      <c r="D230" s="14"/>
      <c r="E230" s="14"/>
      <c r="F230" s="18"/>
      <c r="G230" s="18"/>
      <c r="H230" s="18"/>
      <c r="I230" s="18"/>
      <c r="J230" s="15"/>
      <c r="K230" s="14"/>
    </row>
    <row r="231" customFormat="false" ht="15" hidden="false" customHeight="false" outlineLevel="0" collapsed="false">
      <c r="A231" s="16"/>
      <c r="B231" s="14"/>
      <c r="C231" s="9" t="str">
        <f aca="false">IF(B231="","",IFERROR(INDEX(KOLs!$D$2:$D$300,MATCH(B231,KOLs!$A$2:$A$300,0)),"¿KOL no dado de alta?"))</f>
        <v/>
      </c>
      <c r="D231" s="14"/>
      <c r="E231" s="14"/>
      <c r="F231" s="18"/>
      <c r="G231" s="18"/>
      <c r="H231" s="18"/>
      <c r="I231" s="18"/>
      <c r="J231" s="15"/>
      <c r="K231" s="14"/>
    </row>
    <row r="232" customFormat="false" ht="15" hidden="false" customHeight="false" outlineLevel="0" collapsed="false">
      <c r="A232" s="16"/>
      <c r="B232" s="14"/>
      <c r="C232" s="9" t="str">
        <f aca="false">IF(B232="","",IFERROR(INDEX(KOLs!$D$2:$D$300,MATCH(B232,KOLs!$A$2:$A$300,0)),"¿KOL no dado de alta?"))</f>
        <v/>
      </c>
      <c r="D232" s="14"/>
      <c r="E232" s="14"/>
      <c r="F232" s="18"/>
      <c r="G232" s="18"/>
      <c r="H232" s="18"/>
      <c r="I232" s="18"/>
      <c r="J232" s="15"/>
      <c r="K232" s="14"/>
    </row>
    <row r="233" customFormat="false" ht="15" hidden="false" customHeight="false" outlineLevel="0" collapsed="false">
      <c r="A233" s="16"/>
      <c r="B233" s="14"/>
      <c r="C233" s="9" t="str">
        <f aca="false">IF(B233="","",IFERROR(INDEX(KOLs!$D$2:$D$300,MATCH(B233,KOLs!$A$2:$A$300,0)),"¿KOL no dado de alta?"))</f>
        <v/>
      </c>
      <c r="D233" s="14"/>
      <c r="E233" s="14"/>
      <c r="F233" s="18"/>
      <c r="G233" s="18"/>
      <c r="H233" s="18"/>
      <c r="I233" s="18"/>
      <c r="J233" s="15"/>
      <c r="K233" s="14"/>
    </row>
    <row r="234" customFormat="false" ht="15" hidden="false" customHeight="false" outlineLevel="0" collapsed="false">
      <c r="A234" s="16"/>
      <c r="B234" s="14"/>
      <c r="C234" s="9" t="str">
        <f aca="false">IF(B234="","",IFERROR(INDEX(KOLs!$D$2:$D$300,MATCH(B234,KOLs!$A$2:$A$300,0)),"¿KOL no dado de alta?"))</f>
        <v/>
      </c>
      <c r="D234" s="14"/>
      <c r="E234" s="14"/>
      <c r="F234" s="18"/>
      <c r="G234" s="18"/>
      <c r="H234" s="18"/>
      <c r="I234" s="18"/>
      <c r="J234" s="15"/>
      <c r="K234" s="14"/>
    </row>
    <row r="235" customFormat="false" ht="15" hidden="false" customHeight="false" outlineLevel="0" collapsed="false">
      <c r="A235" s="16"/>
      <c r="B235" s="14"/>
      <c r="C235" s="9" t="str">
        <f aca="false">IF(B235="","",IFERROR(INDEX(KOLs!$D$2:$D$300,MATCH(B235,KOLs!$A$2:$A$300,0)),"¿KOL no dado de alta?"))</f>
        <v/>
      </c>
      <c r="D235" s="14"/>
      <c r="E235" s="14"/>
      <c r="F235" s="18"/>
      <c r="G235" s="18"/>
      <c r="H235" s="18"/>
      <c r="I235" s="18"/>
      <c r="J235" s="15"/>
      <c r="K235" s="14"/>
    </row>
    <row r="236" customFormat="false" ht="15" hidden="false" customHeight="false" outlineLevel="0" collapsed="false">
      <c r="A236" s="16"/>
      <c r="B236" s="14"/>
      <c r="C236" s="9" t="str">
        <f aca="false">IF(B236="","",IFERROR(INDEX(KOLs!$D$2:$D$300,MATCH(B236,KOLs!$A$2:$A$300,0)),"¿KOL no dado de alta?"))</f>
        <v/>
      </c>
      <c r="D236" s="14"/>
      <c r="E236" s="14"/>
      <c r="F236" s="18"/>
      <c r="G236" s="18"/>
      <c r="H236" s="18"/>
      <c r="I236" s="18"/>
      <c r="J236" s="15"/>
      <c r="K236" s="14"/>
    </row>
    <row r="237" customFormat="false" ht="15" hidden="false" customHeight="false" outlineLevel="0" collapsed="false">
      <c r="A237" s="16"/>
      <c r="B237" s="14"/>
      <c r="C237" s="9" t="str">
        <f aca="false">IF(B237="","",IFERROR(INDEX(KOLs!$D$2:$D$300,MATCH(B237,KOLs!$A$2:$A$300,0)),"¿KOL no dado de alta?"))</f>
        <v/>
      </c>
      <c r="D237" s="14"/>
      <c r="E237" s="14"/>
      <c r="F237" s="18"/>
      <c r="G237" s="18"/>
      <c r="H237" s="18"/>
      <c r="I237" s="18"/>
      <c r="J237" s="15"/>
      <c r="K237" s="14"/>
    </row>
    <row r="238" customFormat="false" ht="15" hidden="false" customHeight="false" outlineLevel="0" collapsed="false">
      <c r="A238" s="16"/>
      <c r="B238" s="14"/>
      <c r="C238" s="9" t="str">
        <f aca="false">IF(B238="","",IFERROR(INDEX(KOLs!$D$2:$D$300,MATCH(B238,KOLs!$A$2:$A$300,0)),"¿KOL no dado de alta?"))</f>
        <v/>
      </c>
      <c r="D238" s="14"/>
      <c r="E238" s="14"/>
      <c r="F238" s="18"/>
      <c r="G238" s="18"/>
      <c r="H238" s="18"/>
      <c r="I238" s="18"/>
      <c r="J238" s="15"/>
      <c r="K238" s="14"/>
    </row>
    <row r="239" customFormat="false" ht="15" hidden="false" customHeight="false" outlineLevel="0" collapsed="false">
      <c r="A239" s="16"/>
      <c r="B239" s="14"/>
      <c r="C239" s="9" t="str">
        <f aca="false">IF(B239="","",IFERROR(INDEX(KOLs!$D$2:$D$300,MATCH(B239,KOLs!$A$2:$A$300,0)),"¿KOL no dado de alta?"))</f>
        <v/>
      </c>
      <c r="D239" s="14"/>
      <c r="E239" s="14"/>
      <c r="F239" s="18"/>
      <c r="G239" s="18"/>
      <c r="H239" s="18"/>
      <c r="I239" s="18"/>
      <c r="J239" s="15"/>
      <c r="K239" s="14"/>
    </row>
    <row r="240" customFormat="false" ht="15" hidden="false" customHeight="false" outlineLevel="0" collapsed="false">
      <c r="A240" s="16"/>
      <c r="B240" s="14"/>
      <c r="C240" s="9" t="str">
        <f aca="false">IF(B240="","",IFERROR(INDEX(KOLs!$D$2:$D$300,MATCH(B240,KOLs!$A$2:$A$300,0)),"¿KOL no dado de alta?"))</f>
        <v/>
      </c>
      <c r="D240" s="14"/>
      <c r="E240" s="14"/>
      <c r="F240" s="18"/>
      <c r="G240" s="18"/>
      <c r="H240" s="18"/>
      <c r="I240" s="18"/>
      <c r="J240" s="15"/>
      <c r="K240" s="14"/>
    </row>
    <row r="241" customFormat="false" ht="15" hidden="false" customHeight="false" outlineLevel="0" collapsed="false">
      <c r="A241" s="16"/>
      <c r="B241" s="14"/>
      <c r="C241" s="9" t="str">
        <f aca="false">IF(B241="","",IFERROR(INDEX(KOLs!$D$2:$D$300,MATCH(B241,KOLs!$A$2:$A$300,0)),"¿KOL no dado de alta?"))</f>
        <v/>
      </c>
      <c r="D241" s="14"/>
      <c r="E241" s="14"/>
      <c r="F241" s="18"/>
      <c r="G241" s="18"/>
      <c r="H241" s="18"/>
      <c r="I241" s="18"/>
      <c r="J241" s="15"/>
      <c r="K241" s="14"/>
    </row>
    <row r="242" customFormat="false" ht="15" hidden="false" customHeight="false" outlineLevel="0" collapsed="false">
      <c r="A242" s="16"/>
      <c r="B242" s="14"/>
      <c r="C242" s="9" t="str">
        <f aca="false">IF(B242="","",IFERROR(INDEX(KOLs!$D$2:$D$300,MATCH(B242,KOLs!$A$2:$A$300,0)),"¿KOL no dado de alta?"))</f>
        <v/>
      </c>
      <c r="D242" s="14"/>
      <c r="E242" s="14"/>
      <c r="F242" s="18"/>
      <c r="G242" s="18"/>
      <c r="H242" s="18"/>
      <c r="I242" s="18"/>
      <c r="J242" s="15"/>
      <c r="K242" s="14"/>
    </row>
    <row r="243" customFormat="false" ht="15" hidden="false" customHeight="false" outlineLevel="0" collapsed="false">
      <c r="A243" s="16"/>
      <c r="B243" s="14"/>
      <c r="C243" s="9" t="str">
        <f aca="false">IF(B243="","",IFERROR(INDEX(KOLs!$D$2:$D$300,MATCH(B243,KOLs!$A$2:$A$300,0)),"¿KOL no dado de alta?"))</f>
        <v/>
      </c>
      <c r="D243" s="14"/>
      <c r="E243" s="14"/>
      <c r="F243" s="18"/>
      <c r="G243" s="18"/>
      <c r="H243" s="18"/>
      <c r="I243" s="18"/>
      <c r="J243" s="15"/>
      <c r="K243" s="14"/>
    </row>
    <row r="244" customFormat="false" ht="15" hidden="false" customHeight="false" outlineLevel="0" collapsed="false">
      <c r="A244" s="16"/>
      <c r="B244" s="14"/>
      <c r="C244" s="9" t="str">
        <f aca="false">IF(B244="","",IFERROR(INDEX(KOLs!$D$2:$D$300,MATCH(B244,KOLs!$A$2:$A$300,0)),"¿KOL no dado de alta?"))</f>
        <v/>
      </c>
      <c r="D244" s="14"/>
      <c r="E244" s="14"/>
      <c r="F244" s="18"/>
      <c r="G244" s="18"/>
      <c r="H244" s="18"/>
      <c r="I244" s="18"/>
      <c r="J244" s="15"/>
      <c r="K244" s="14"/>
    </row>
    <row r="245" customFormat="false" ht="15" hidden="false" customHeight="false" outlineLevel="0" collapsed="false">
      <c r="A245" s="16"/>
      <c r="B245" s="14"/>
      <c r="C245" s="9" t="str">
        <f aca="false">IF(B245="","",IFERROR(INDEX(KOLs!$D$2:$D$300,MATCH(B245,KOLs!$A$2:$A$300,0)),"¿KOL no dado de alta?"))</f>
        <v/>
      </c>
      <c r="D245" s="14"/>
      <c r="E245" s="14"/>
      <c r="F245" s="18"/>
      <c r="G245" s="18"/>
      <c r="H245" s="18"/>
      <c r="I245" s="18"/>
      <c r="J245" s="15"/>
      <c r="K245" s="14"/>
    </row>
    <row r="246" customFormat="false" ht="15" hidden="false" customHeight="false" outlineLevel="0" collapsed="false">
      <c r="A246" s="16"/>
      <c r="B246" s="14"/>
      <c r="C246" s="9" t="str">
        <f aca="false">IF(B246="","",IFERROR(INDEX(KOLs!$D$2:$D$300,MATCH(B246,KOLs!$A$2:$A$300,0)),"¿KOL no dado de alta?"))</f>
        <v/>
      </c>
      <c r="D246" s="14"/>
      <c r="E246" s="14"/>
      <c r="F246" s="18"/>
      <c r="G246" s="18"/>
      <c r="H246" s="18"/>
      <c r="I246" s="18"/>
      <c r="J246" s="15"/>
      <c r="K246" s="14"/>
    </row>
    <row r="247" customFormat="false" ht="15" hidden="false" customHeight="false" outlineLevel="0" collapsed="false">
      <c r="A247" s="16"/>
      <c r="B247" s="14"/>
      <c r="C247" s="9" t="str">
        <f aca="false">IF(B247="","",IFERROR(INDEX(KOLs!$D$2:$D$300,MATCH(B247,KOLs!$A$2:$A$300,0)),"¿KOL no dado de alta?"))</f>
        <v/>
      </c>
      <c r="D247" s="14"/>
      <c r="E247" s="14"/>
      <c r="F247" s="18"/>
      <c r="G247" s="18"/>
      <c r="H247" s="18"/>
      <c r="I247" s="18"/>
      <c r="J247" s="15"/>
      <c r="K247" s="14"/>
    </row>
    <row r="248" customFormat="false" ht="15" hidden="false" customHeight="false" outlineLevel="0" collapsed="false">
      <c r="A248" s="16"/>
      <c r="B248" s="14"/>
      <c r="C248" s="9" t="str">
        <f aca="false">IF(B248="","",IFERROR(INDEX(KOLs!$D$2:$D$300,MATCH(B248,KOLs!$A$2:$A$300,0)),"¿KOL no dado de alta?"))</f>
        <v/>
      </c>
      <c r="D248" s="14"/>
      <c r="E248" s="14"/>
      <c r="F248" s="18"/>
      <c r="G248" s="18"/>
      <c r="H248" s="18"/>
      <c r="I248" s="18"/>
      <c r="J248" s="15"/>
      <c r="K248" s="14"/>
    </row>
    <row r="249" customFormat="false" ht="15" hidden="false" customHeight="false" outlineLevel="0" collapsed="false">
      <c r="A249" s="16"/>
      <c r="B249" s="14"/>
      <c r="C249" s="9" t="str">
        <f aca="false">IF(B249="","",IFERROR(INDEX(KOLs!$D$2:$D$300,MATCH(B249,KOLs!$A$2:$A$300,0)),"¿KOL no dado de alta?"))</f>
        <v/>
      </c>
      <c r="D249" s="14"/>
      <c r="E249" s="14"/>
      <c r="F249" s="18"/>
      <c r="G249" s="18"/>
      <c r="H249" s="18"/>
      <c r="I249" s="18"/>
      <c r="J249" s="15"/>
      <c r="K249" s="14"/>
    </row>
    <row r="250" customFormat="false" ht="15" hidden="false" customHeight="false" outlineLevel="0" collapsed="false">
      <c r="A250" s="16"/>
      <c r="B250" s="14"/>
      <c r="C250" s="9" t="str">
        <f aca="false">IF(B250="","",IFERROR(INDEX(KOLs!$D$2:$D$300,MATCH(B250,KOLs!$A$2:$A$300,0)),"¿KOL no dado de alta?"))</f>
        <v/>
      </c>
      <c r="D250" s="14"/>
      <c r="E250" s="14"/>
      <c r="F250" s="18"/>
      <c r="G250" s="18"/>
      <c r="H250" s="18"/>
      <c r="I250" s="18"/>
      <c r="J250" s="15"/>
      <c r="K250" s="14"/>
    </row>
    <row r="251" customFormat="false" ht="15" hidden="false" customHeight="false" outlineLevel="0" collapsed="false">
      <c r="A251" s="16"/>
      <c r="B251" s="14"/>
      <c r="C251" s="9" t="str">
        <f aca="false">IF(B251="","",IFERROR(INDEX(KOLs!$D$2:$D$300,MATCH(B251,KOLs!$A$2:$A$300,0)),"¿KOL no dado de alta?"))</f>
        <v/>
      </c>
      <c r="D251" s="14"/>
      <c r="E251" s="14"/>
      <c r="F251" s="18"/>
      <c r="G251" s="18"/>
      <c r="H251" s="18"/>
      <c r="I251" s="18"/>
      <c r="J251" s="15"/>
      <c r="K251" s="14"/>
    </row>
    <row r="252" customFormat="false" ht="15" hidden="false" customHeight="false" outlineLevel="0" collapsed="false">
      <c r="A252" s="16"/>
      <c r="B252" s="14"/>
      <c r="C252" s="9" t="str">
        <f aca="false">IF(B252="","",IFERROR(INDEX(KOLs!$D$2:$D$300,MATCH(B252,KOLs!$A$2:$A$300,0)),"¿KOL no dado de alta?"))</f>
        <v/>
      </c>
      <c r="D252" s="14"/>
      <c r="E252" s="14"/>
      <c r="F252" s="18"/>
      <c r="G252" s="18"/>
      <c r="H252" s="18"/>
      <c r="I252" s="18"/>
      <c r="J252" s="15"/>
      <c r="K252" s="14"/>
    </row>
    <row r="253" customFormat="false" ht="15" hidden="false" customHeight="false" outlineLevel="0" collapsed="false">
      <c r="A253" s="16"/>
      <c r="B253" s="14"/>
      <c r="C253" s="9" t="str">
        <f aca="false">IF(B253="","",IFERROR(INDEX(KOLs!$D$2:$D$300,MATCH(B253,KOLs!$A$2:$A$300,0)),"¿KOL no dado de alta?"))</f>
        <v/>
      </c>
      <c r="D253" s="14"/>
      <c r="E253" s="14"/>
      <c r="F253" s="18"/>
      <c r="G253" s="18"/>
      <c r="H253" s="18"/>
      <c r="I253" s="18"/>
      <c r="J253" s="15"/>
      <c r="K253" s="14"/>
    </row>
    <row r="254" customFormat="false" ht="15" hidden="false" customHeight="false" outlineLevel="0" collapsed="false">
      <c r="A254" s="16"/>
      <c r="B254" s="14"/>
      <c r="C254" s="9" t="str">
        <f aca="false">IF(B254="","",IFERROR(INDEX(KOLs!$D$2:$D$300,MATCH(B254,KOLs!$A$2:$A$300,0)),"¿KOL no dado de alta?"))</f>
        <v/>
      </c>
      <c r="D254" s="14"/>
      <c r="E254" s="14"/>
      <c r="F254" s="18"/>
      <c r="G254" s="18"/>
      <c r="H254" s="18"/>
      <c r="I254" s="18"/>
      <c r="J254" s="15"/>
      <c r="K254" s="14"/>
    </row>
    <row r="255" customFormat="false" ht="15" hidden="false" customHeight="false" outlineLevel="0" collapsed="false">
      <c r="A255" s="16"/>
      <c r="B255" s="14"/>
      <c r="C255" s="9" t="str">
        <f aca="false">IF(B255="","",IFERROR(INDEX(KOLs!$D$2:$D$300,MATCH(B255,KOLs!$A$2:$A$300,0)),"¿KOL no dado de alta?"))</f>
        <v/>
      </c>
      <c r="D255" s="14"/>
      <c r="E255" s="14"/>
      <c r="F255" s="18"/>
      <c r="G255" s="18"/>
      <c r="H255" s="18"/>
      <c r="I255" s="18"/>
      <c r="J255" s="15"/>
      <c r="K255" s="14"/>
    </row>
    <row r="256" customFormat="false" ht="15" hidden="false" customHeight="false" outlineLevel="0" collapsed="false">
      <c r="A256" s="16"/>
      <c r="B256" s="14"/>
      <c r="C256" s="9" t="str">
        <f aca="false">IF(B256="","",IFERROR(INDEX(KOLs!$D$2:$D$300,MATCH(B256,KOLs!$A$2:$A$300,0)),"¿KOL no dado de alta?"))</f>
        <v/>
      </c>
      <c r="D256" s="14"/>
      <c r="E256" s="14"/>
      <c r="F256" s="18"/>
      <c r="G256" s="18"/>
      <c r="H256" s="18"/>
      <c r="I256" s="18"/>
      <c r="J256" s="15"/>
      <c r="K256" s="14"/>
    </row>
    <row r="257" customFormat="false" ht="15" hidden="false" customHeight="false" outlineLevel="0" collapsed="false">
      <c r="A257" s="16"/>
      <c r="B257" s="14"/>
      <c r="C257" s="9" t="str">
        <f aca="false">IF(B257="","",IFERROR(INDEX(KOLs!$D$2:$D$300,MATCH(B257,KOLs!$A$2:$A$300,0)),"¿KOL no dado de alta?"))</f>
        <v/>
      </c>
      <c r="D257" s="14"/>
      <c r="E257" s="14"/>
      <c r="F257" s="18"/>
      <c r="G257" s="18"/>
      <c r="H257" s="18"/>
      <c r="I257" s="18"/>
      <c r="J257" s="15"/>
      <c r="K257" s="14"/>
    </row>
    <row r="258" customFormat="false" ht="15" hidden="false" customHeight="false" outlineLevel="0" collapsed="false">
      <c r="A258" s="16"/>
      <c r="B258" s="14"/>
      <c r="C258" s="9" t="str">
        <f aca="false">IF(B258="","",IFERROR(INDEX(KOLs!$D$2:$D$300,MATCH(B258,KOLs!$A$2:$A$300,0)),"¿KOL no dado de alta?"))</f>
        <v/>
      </c>
      <c r="D258" s="14"/>
      <c r="E258" s="14"/>
      <c r="F258" s="18"/>
      <c r="G258" s="18"/>
      <c r="H258" s="18"/>
      <c r="I258" s="18"/>
      <c r="J258" s="15"/>
      <c r="K258" s="14"/>
    </row>
    <row r="259" customFormat="false" ht="15" hidden="false" customHeight="false" outlineLevel="0" collapsed="false">
      <c r="A259" s="16"/>
      <c r="B259" s="14"/>
      <c r="C259" s="9" t="str">
        <f aca="false">IF(B259="","",IFERROR(INDEX(KOLs!$D$2:$D$300,MATCH(B259,KOLs!$A$2:$A$300,0)),"¿KOL no dado de alta?"))</f>
        <v/>
      </c>
      <c r="D259" s="14"/>
      <c r="E259" s="14"/>
      <c r="F259" s="18"/>
      <c r="G259" s="18"/>
      <c r="H259" s="18"/>
      <c r="I259" s="18"/>
      <c r="J259" s="15"/>
      <c r="K259" s="14"/>
    </row>
    <row r="260" customFormat="false" ht="15" hidden="false" customHeight="false" outlineLevel="0" collapsed="false">
      <c r="A260" s="16"/>
      <c r="B260" s="14"/>
      <c r="C260" s="9" t="str">
        <f aca="false">IF(B260="","",IFERROR(INDEX(KOLs!$D$2:$D$300,MATCH(B260,KOLs!$A$2:$A$300,0)),"¿KOL no dado de alta?"))</f>
        <v/>
      </c>
      <c r="D260" s="14"/>
      <c r="E260" s="14"/>
      <c r="F260" s="18"/>
      <c r="G260" s="18"/>
      <c r="H260" s="18"/>
      <c r="I260" s="18"/>
      <c r="J260" s="15"/>
      <c r="K260" s="14"/>
    </row>
    <row r="261" customFormat="false" ht="15" hidden="false" customHeight="false" outlineLevel="0" collapsed="false">
      <c r="A261" s="16"/>
      <c r="B261" s="14"/>
      <c r="C261" s="9" t="str">
        <f aca="false">IF(B261="","",IFERROR(INDEX(KOLs!$D$2:$D$300,MATCH(B261,KOLs!$A$2:$A$300,0)),"¿KOL no dado de alta?"))</f>
        <v/>
      </c>
      <c r="D261" s="14"/>
      <c r="E261" s="14"/>
      <c r="F261" s="18"/>
      <c r="G261" s="18"/>
      <c r="H261" s="18"/>
      <c r="I261" s="18"/>
      <c r="J261" s="15"/>
      <c r="K261" s="14"/>
    </row>
    <row r="262" customFormat="false" ht="15" hidden="false" customHeight="false" outlineLevel="0" collapsed="false">
      <c r="A262" s="16"/>
      <c r="B262" s="14"/>
      <c r="C262" s="9" t="str">
        <f aca="false">IF(B262="","",IFERROR(INDEX(KOLs!$D$2:$D$300,MATCH(B262,KOLs!$A$2:$A$300,0)),"¿KOL no dado de alta?"))</f>
        <v/>
      </c>
      <c r="D262" s="14"/>
      <c r="E262" s="14"/>
      <c r="F262" s="18"/>
      <c r="G262" s="18"/>
      <c r="H262" s="18"/>
      <c r="I262" s="18"/>
      <c r="J262" s="15"/>
      <c r="K262" s="14"/>
    </row>
    <row r="263" customFormat="false" ht="15" hidden="false" customHeight="false" outlineLevel="0" collapsed="false">
      <c r="A263" s="16"/>
      <c r="B263" s="14"/>
      <c r="C263" s="9" t="str">
        <f aca="false">IF(B263="","",IFERROR(INDEX(KOLs!$D$2:$D$300,MATCH(B263,KOLs!$A$2:$A$300,0)),"¿KOL no dado de alta?"))</f>
        <v/>
      </c>
      <c r="D263" s="14"/>
      <c r="E263" s="14"/>
      <c r="F263" s="18"/>
      <c r="G263" s="18"/>
      <c r="H263" s="18"/>
      <c r="I263" s="18"/>
      <c r="J263" s="15"/>
      <c r="K263" s="14"/>
    </row>
    <row r="264" customFormat="false" ht="15" hidden="false" customHeight="false" outlineLevel="0" collapsed="false">
      <c r="A264" s="16"/>
      <c r="B264" s="14"/>
      <c r="C264" s="9" t="str">
        <f aca="false">IF(B264="","",IFERROR(INDEX(KOLs!$D$2:$D$300,MATCH(B264,KOLs!$A$2:$A$300,0)),"¿KOL no dado de alta?"))</f>
        <v/>
      </c>
      <c r="D264" s="14"/>
      <c r="E264" s="14"/>
      <c r="F264" s="18"/>
      <c r="G264" s="18"/>
      <c r="H264" s="18"/>
      <c r="I264" s="18"/>
      <c r="J264" s="15"/>
      <c r="K264" s="14"/>
    </row>
    <row r="265" customFormat="false" ht="15" hidden="false" customHeight="false" outlineLevel="0" collapsed="false">
      <c r="A265" s="16"/>
      <c r="B265" s="14"/>
      <c r="C265" s="9" t="str">
        <f aca="false">IF(B265="","",IFERROR(INDEX(KOLs!$D$2:$D$300,MATCH(B265,KOLs!$A$2:$A$300,0)),"¿KOL no dado de alta?"))</f>
        <v/>
      </c>
      <c r="D265" s="14"/>
      <c r="E265" s="14"/>
      <c r="F265" s="18"/>
      <c r="G265" s="18"/>
      <c r="H265" s="18"/>
      <c r="I265" s="18"/>
      <c r="J265" s="15"/>
      <c r="K265" s="14"/>
    </row>
    <row r="266" customFormat="false" ht="15" hidden="false" customHeight="false" outlineLevel="0" collapsed="false">
      <c r="A266" s="16"/>
      <c r="B266" s="14"/>
      <c r="C266" s="9" t="str">
        <f aca="false">IF(B266="","",IFERROR(INDEX(KOLs!$D$2:$D$300,MATCH(B266,KOLs!$A$2:$A$300,0)),"¿KOL no dado de alta?"))</f>
        <v/>
      </c>
      <c r="D266" s="14"/>
      <c r="E266" s="14"/>
      <c r="F266" s="18"/>
      <c r="G266" s="18"/>
      <c r="H266" s="18"/>
      <c r="I266" s="18"/>
      <c r="J266" s="15"/>
      <c r="K266" s="14"/>
    </row>
    <row r="267" customFormat="false" ht="15" hidden="false" customHeight="false" outlineLevel="0" collapsed="false">
      <c r="A267" s="16"/>
      <c r="B267" s="14"/>
      <c r="C267" s="9" t="str">
        <f aca="false">IF(B267="","",IFERROR(INDEX(KOLs!$D$2:$D$300,MATCH(B267,KOLs!$A$2:$A$300,0)),"¿KOL no dado de alta?"))</f>
        <v/>
      </c>
      <c r="D267" s="14"/>
      <c r="E267" s="14"/>
      <c r="F267" s="18"/>
      <c r="G267" s="18"/>
      <c r="H267" s="18"/>
      <c r="I267" s="18"/>
      <c r="J267" s="15"/>
      <c r="K267" s="14"/>
    </row>
    <row r="268" customFormat="false" ht="15" hidden="false" customHeight="false" outlineLevel="0" collapsed="false">
      <c r="A268" s="16"/>
      <c r="B268" s="14"/>
      <c r="C268" s="9" t="str">
        <f aca="false">IF(B268="","",IFERROR(INDEX(KOLs!$D$2:$D$300,MATCH(B268,KOLs!$A$2:$A$300,0)),"¿KOL no dado de alta?"))</f>
        <v/>
      </c>
      <c r="D268" s="14"/>
      <c r="E268" s="14"/>
      <c r="F268" s="18"/>
      <c r="G268" s="18"/>
      <c r="H268" s="18"/>
      <c r="I268" s="18"/>
      <c r="J268" s="15"/>
      <c r="K268" s="14"/>
    </row>
    <row r="269" customFormat="false" ht="15" hidden="false" customHeight="false" outlineLevel="0" collapsed="false">
      <c r="A269" s="16"/>
      <c r="B269" s="14"/>
      <c r="C269" s="9" t="str">
        <f aca="false">IF(B269="","",IFERROR(INDEX(KOLs!$D$2:$D$300,MATCH(B269,KOLs!$A$2:$A$300,0)),"¿KOL no dado de alta?"))</f>
        <v/>
      </c>
      <c r="D269" s="14"/>
      <c r="E269" s="14"/>
      <c r="F269" s="18"/>
      <c r="G269" s="18"/>
      <c r="H269" s="18"/>
      <c r="I269" s="18"/>
      <c r="J269" s="15"/>
      <c r="K269" s="14"/>
    </row>
    <row r="270" customFormat="false" ht="15" hidden="false" customHeight="false" outlineLevel="0" collapsed="false">
      <c r="A270" s="16"/>
      <c r="B270" s="14"/>
      <c r="C270" s="9" t="str">
        <f aca="false">IF(B270="","",IFERROR(INDEX(KOLs!$D$2:$D$300,MATCH(B270,KOLs!$A$2:$A$300,0)),"¿KOL no dado de alta?"))</f>
        <v/>
      </c>
      <c r="D270" s="14"/>
      <c r="E270" s="14"/>
      <c r="F270" s="18"/>
      <c r="G270" s="18"/>
      <c r="H270" s="18"/>
      <c r="I270" s="18"/>
      <c r="J270" s="15"/>
      <c r="K270" s="14"/>
    </row>
    <row r="271" customFormat="false" ht="15" hidden="false" customHeight="false" outlineLevel="0" collapsed="false">
      <c r="A271" s="16"/>
      <c r="B271" s="14"/>
      <c r="C271" s="9" t="str">
        <f aca="false">IF(B271="","",IFERROR(INDEX(KOLs!$D$2:$D$300,MATCH(B271,KOLs!$A$2:$A$300,0)),"¿KOL no dado de alta?"))</f>
        <v/>
      </c>
      <c r="D271" s="14"/>
      <c r="E271" s="14"/>
      <c r="F271" s="18"/>
      <c r="G271" s="18"/>
      <c r="H271" s="18"/>
      <c r="I271" s="18"/>
      <c r="J271" s="15"/>
      <c r="K271" s="14"/>
    </row>
    <row r="272" customFormat="false" ht="15" hidden="false" customHeight="false" outlineLevel="0" collapsed="false">
      <c r="A272" s="16"/>
      <c r="B272" s="14"/>
      <c r="C272" s="9" t="str">
        <f aca="false">IF(B272="","",IFERROR(INDEX(KOLs!$D$2:$D$300,MATCH(B272,KOLs!$A$2:$A$300,0)),"¿KOL no dado de alta?"))</f>
        <v/>
      </c>
      <c r="D272" s="14"/>
      <c r="E272" s="14"/>
      <c r="F272" s="18"/>
      <c r="G272" s="18"/>
      <c r="H272" s="18"/>
      <c r="I272" s="18"/>
      <c r="J272" s="15"/>
      <c r="K272" s="14"/>
    </row>
    <row r="273" customFormat="false" ht="15" hidden="false" customHeight="false" outlineLevel="0" collapsed="false">
      <c r="A273" s="16"/>
      <c r="B273" s="14"/>
      <c r="C273" s="9" t="str">
        <f aca="false">IF(B273="","",IFERROR(INDEX(KOLs!$D$2:$D$300,MATCH(B273,KOLs!$A$2:$A$300,0)),"¿KOL no dado de alta?"))</f>
        <v/>
      </c>
      <c r="D273" s="14"/>
      <c r="E273" s="14"/>
      <c r="F273" s="18"/>
      <c r="G273" s="18"/>
      <c r="H273" s="18"/>
      <c r="I273" s="18"/>
      <c r="J273" s="15"/>
      <c r="K273" s="14"/>
    </row>
    <row r="274" customFormat="false" ht="15" hidden="false" customHeight="false" outlineLevel="0" collapsed="false">
      <c r="A274" s="16"/>
      <c r="B274" s="14"/>
      <c r="C274" s="9" t="str">
        <f aca="false">IF(B274="","",IFERROR(INDEX(KOLs!$D$2:$D$300,MATCH(B274,KOLs!$A$2:$A$300,0)),"¿KOL no dado de alta?"))</f>
        <v/>
      </c>
      <c r="D274" s="14"/>
      <c r="E274" s="14"/>
      <c r="F274" s="18"/>
      <c r="G274" s="18"/>
      <c r="H274" s="18"/>
      <c r="I274" s="18"/>
      <c r="J274" s="15"/>
      <c r="K274" s="14"/>
    </row>
    <row r="275" customFormat="false" ht="15" hidden="false" customHeight="false" outlineLevel="0" collapsed="false">
      <c r="A275" s="16"/>
      <c r="B275" s="14"/>
      <c r="C275" s="9" t="str">
        <f aca="false">IF(B275="","",IFERROR(INDEX(KOLs!$D$2:$D$300,MATCH(B275,KOLs!$A$2:$A$300,0)),"¿KOL no dado de alta?"))</f>
        <v/>
      </c>
      <c r="D275" s="14"/>
      <c r="E275" s="14"/>
      <c r="F275" s="18"/>
      <c r="G275" s="18"/>
      <c r="H275" s="18"/>
      <c r="I275" s="18"/>
      <c r="J275" s="15"/>
      <c r="K275" s="14"/>
    </row>
    <row r="276" customFormat="false" ht="15" hidden="false" customHeight="false" outlineLevel="0" collapsed="false">
      <c r="A276" s="16"/>
      <c r="B276" s="14"/>
      <c r="C276" s="9" t="str">
        <f aca="false">IF(B276="","",IFERROR(INDEX(KOLs!$D$2:$D$300,MATCH(B276,KOLs!$A$2:$A$300,0)),"¿KOL no dado de alta?"))</f>
        <v/>
      </c>
      <c r="D276" s="14"/>
      <c r="E276" s="14"/>
      <c r="F276" s="18"/>
      <c r="G276" s="18"/>
      <c r="H276" s="18"/>
      <c r="I276" s="18"/>
      <c r="J276" s="15"/>
      <c r="K276" s="14"/>
    </row>
    <row r="277" customFormat="false" ht="15" hidden="false" customHeight="false" outlineLevel="0" collapsed="false">
      <c r="A277" s="16"/>
      <c r="B277" s="14"/>
      <c r="C277" s="9" t="str">
        <f aca="false">IF(B277="","",IFERROR(INDEX(KOLs!$D$2:$D$300,MATCH(B277,KOLs!$A$2:$A$300,0)),"¿KOL no dado de alta?"))</f>
        <v/>
      </c>
      <c r="D277" s="14"/>
      <c r="E277" s="14"/>
      <c r="F277" s="18"/>
      <c r="G277" s="18"/>
      <c r="H277" s="18"/>
      <c r="I277" s="18"/>
      <c r="J277" s="15"/>
      <c r="K277" s="14"/>
    </row>
    <row r="278" customFormat="false" ht="15" hidden="false" customHeight="false" outlineLevel="0" collapsed="false">
      <c r="A278" s="16"/>
      <c r="B278" s="14"/>
      <c r="C278" s="9" t="str">
        <f aca="false">IF(B278="","",IFERROR(INDEX(KOLs!$D$2:$D$300,MATCH(B278,KOLs!$A$2:$A$300,0)),"¿KOL no dado de alta?"))</f>
        <v/>
      </c>
      <c r="D278" s="14"/>
      <c r="E278" s="14"/>
      <c r="F278" s="18"/>
      <c r="G278" s="18"/>
      <c r="H278" s="18"/>
      <c r="I278" s="18"/>
      <c r="J278" s="15"/>
      <c r="K278" s="14"/>
    </row>
    <row r="279" customFormat="false" ht="15" hidden="false" customHeight="false" outlineLevel="0" collapsed="false">
      <c r="A279" s="16"/>
      <c r="B279" s="14"/>
      <c r="C279" s="9" t="str">
        <f aca="false">IF(B279="","",IFERROR(INDEX(KOLs!$D$2:$D$300,MATCH(B279,KOLs!$A$2:$A$300,0)),"¿KOL no dado de alta?"))</f>
        <v/>
      </c>
      <c r="D279" s="14"/>
      <c r="E279" s="14"/>
      <c r="F279" s="18"/>
      <c r="G279" s="18"/>
      <c r="H279" s="18"/>
      <c r="I279" s="18"/>
      <c r="J279" s="15"/>
      <c r="K279" s="14"/>
    </row>
    <row r="280" customFormat="false" ht="15" hidden="false" customHeight="false" outlineLevel="0" collapsed="false">
      <c r="A280" s="16"/>
      <c r="B280" s="14"/>
      <c r="C280" s="9" t="str">
        <f aca="false">IF(B280="","",IFERROR(INDEX(KOLs!$D$2:$D$300,MATCH(B280,KOLs!$A$2:$A$300,0)),"¿KOL no dado de alta?"))</f>
        <v/>
      </c>
      <c r="D280" s="14"/>
      <c r="E280" s="14"/>
      <c r="F280" s="18"/>
      <c r="G280" s="18"/>
      <c r="H280" s="18"/>
      <c r="I280" s="18"/>
      <c r="J280" s="15"/>
      <c r="K280" s="14"/>
    </row>
    <row r="281" customFormat="false" ht="15" hidden="false" customHeight="false" outlineLevel="0" collapsed="false">
      <c r="A281" s="16"/>
      <c r="B281" s="14"/>
      <c r="C281" s="9" t="str">
        <f aca="false">IF(B281="","",IFERROR(INDEX(KOLs!$D$2:$D$300,MATCH(B281,KOLs!$A$2:$A$300,0)),"¿KOL no dado de alta?"))</f>
        <v/>
      </c>
      <c r="D281" s="14"/>
      <c r="E281" s="14"/>
      <c r="F281" s="18"/>
      <c r="G281" s="18"/>
      <c r="H281" s="18"/>
      <c r="I281" s="18"/>
      <c r="J281" s="15"/>
      <c r="K281" s="14"/>
    </row>
    <row r="282" customFormat="false" ht="15" hidden="false" customHeight="false" outlineLevel="0" collapsed="false">
      <c r="A282" s="16"/>
      <c r="B282" s="14"/>
      <c r="C282" s="9" t="str">
        <f aca="false">IF(B282="","",IFERROR(INDEX(KOLs!$D$2:$D$300,MATCH(B282,KOLs!$A$2:$A$300,0)),"¿KOL no dado de alta?"))</f>
        <v/>
      </c>
      <c r="D282" s="14"/>
      <c r="E282" s="14"/>
      <c r="F282" s="18"/>
      <c r="G282" s="18"/>
      <c r="H282" s="18"/>
      <c r="I282" s="18"/>
      <c r="J282" s="15"/>
      <c r="K282" s="14"/>
    </row>
    <row r="283" customFormat="false" ht="15" hidden="false" customHeight="false" outlineLevel="0" collapsed="false">
      <c r="A283" s="16"/>
      <c r="B283" s="14"/>
      <c r="C283" s="9" t="str">
        <f aca="false">IF(B283="","",IFERROR(INDEX(KOLs!$D$2:$D$300,MATCH(B283,KOLs!$A$2:$A$300,0)),"¿KOL no dado de alta?"))</f>
        <v/>
      </c>
      <c r="D283" s="14"/>
      <c r="E283" s="14"/>
      <c r="F283" s="18"/>
      <c r="G283" s="18"/>
      <c r="H283" s="18"/>
      <c r="I283" s="18"/>
      <c r="J283" s="15"/>
      <c r="K283" s="14"/>
    </row>
    <row r="284" customFormat="false" ht="15" hidden="false" customHeight="false" outlineLevel="0" collapsed="false">
      <c r="A284" s="16"/>
      <c r="B284" s="14"/>
      <c r="C284" s="9" t="str">
        <f aca="false">IF(B284="","",IFERROR(INDEX(KOLs!$D$2:$D$300,MATCH(B284,KOLs!$A$2:$A$300,0)),"¿KOL no dado de alta?"))</f>
        <v/>
      </c>
      <c r="D284" s="14"/>
      <c r="E284" s="14"/>
      <c r="F284" s="18"/>
      <c r="G284" s="18"/>
      <c r="H284" s="18"/>
      <c r="I284" s="18"/>
      <c r="J284" s="15"/>
      <c r="K284" s="14"/>
    </row>
    <row r="285" customFormat="false" ht="15" hidden="false" customHeight="false" outlineLevel="0" collapsed="false">
      <c r="A285" s="16"/>
      <c r="B285" s="14"/>
      <c r="C285" s="9" t="str">
        <f aca="false">IF(B285="","",IFERROR(INDEX(KOLs!$D$2:$D$300,MATCH(B285,KOLs!$A$2:$A$300,0)),"¿KOL no dado de alta?"))</f>
        <v/>
      </c>
      <c r="D285" s="14"/>
      <c r="E285" s="14"/>
      <c r="F285" s="18"/>
      <c r="G285" s="18"/>
      <c r="H285" s="18"/>
      <c r="I285" s="18"/>
      <c r="J285" s="15"/>
      <c r="K285" s="14"/>
    </row>
    <row r="286" customFormat="false" ht="15" hidden="false" customHeight="false" outlineLevel="0" collapsed="false">
      <c r="A286" s="16"/>
      <c r="B286" s="14"/>
      <c r="C286" s="9" t="str">
        <f aca="false">IF(B286="","",IFERROR(INDEX(KOLs!$D$2:$D$300,MATCH(B286,KOLs!$A$2:$A$300,0)),"¿KOL no dado de alta?"))</f>
        <v/>
      </c>
      <c r="D286" s="14"/>
      <c r="E286" s="14"/>
      <c r="F286" s="18"/>
      <c r="G286" s="18"/>
      <c r="H286" s="18"/>
      <c r="I286" s="18"/>
      <c r="J286" s="15"/>
      <c r="K286" s="14"/>
    </row>
    <row r="287" customFormat="false" ht="15" hidden="false" customHeight="false" outlineLevel="0" collapsed="false">
      <c r="A287" s="16"/>
      <c r="B287" s="14"/>
      <c r="C287" s="9" t="str">
        <f aca="false">IF(B287="","",IFERROR(INDEX(KOLs!$D$2:$D$300,MATCH(B287,KOLs!$A$2:$A$300,0)),"¿KOL no dado de alta?"))</f>
        <v/>
      </c>
      <c r="D287" s="14"/>
      <c r="E287" s="14"/>
      <c r="F287" s="18"/>
      <c r="G287" s="18"/>
      <c r="H287" s="18"/>
      <c r="I287" s="18"/>
      <c r="J287" s="15"/>
      <c r="K287" s="14"/>
    </row>
    <row r="288" customFormat="false" ht="15" hidden="false" customHeight="false" outlineLevel="0" collapsed="false">
      <c r="A288" s="16"/>
      <c r="B288" s="14"/>
      <c r="C288" s="9" t="str">
        <f aca="false">IF(B288="","",IFERROR(INDEX(KOLs!$D$2:$D$300,MATCH(B288,KOLs!$A$2:$A$300,0)),"¿KOL no dado de alta?"))</f>
        <v/>
      </c>
      <c r="D288" s="14"/>
      <c r="E288" s="14"/>
      <c r="F288" s="18"/>
      <c r="G288" s="18"/>
      <c r="H288" s="18"/>
      <c r="I288" s="18"/>
      <c r="J288" s="15"/>
      <c r="K288" s="14"/>
    </row>
    <row r="289" customFormat="false" ht="15" hidden="false" customHeight="false" outlineLevel="0" collapsed="false">
      <c r="A289" s="16"/>
      <c r="B289" s="14"/>
      <c r="C289" s="9" t="str">
        <f aca="false">IF(B289="","",IFERROR(INDEX(KOLs!$D$2:$D$300,MATCH(B289,KOLs!$A$2:$A$300,0)),"¿KOL no dado de alta?"))</f>
        <v/>
      </c>
      <c r="D289" s="14"/>
      <c r="E289" s="14"/>
      <c r="F289" s="18"/>
      <c r="G289" s="18"/>
      <c r="H289" s="18"/>
      <c r="I289" s="18"/>
      <c r="J289" s="15"/>
      <c r="K289" s="14"/>
    </row>
    <row r="290" customFormat="false" ht="15" hidden="false" customHeight="false" outlineLevel="0" collapsed="false">
      <c r="A290" s="16"/>
      <c r="B290" s="14"/>
      <c r="C290" s="9" t="str">
        <f aca="false">IF(B290="","",IFERROR(INDEX(KOLs!$D$2:$D$300,MATCH(B290,KOLs!$A$2:$A$300,0)),"¿KOL no dado de alta?"))</f>
        <v/>
      </c>
      <c r="D290" s="14"/>
      <c r="E290" s="14"/>
      <c r="F290" s="18"/>
      <c r="G290" s="18"/>
      <c r="H290" s="18"/>
      <c r="I290" s="18"/>
      <c r="J290" s="15"/>
      <c r="K290" s="14"/>
    </row>
    <row r="291" customFormat="false" ht="15" hidden="false" customHeight="false" outlineLevel="0" collapsed="false">
      <c r="A291" s="16"/>
      <c r="B291" s="14"/>
      <c r="C291" s="9" t="str">
        <f aca="false">IF(B291="","",IFERROR(INDEX(KOLs!$D$2:$D$300,MATCH(B291,KOLs!$A$2:$A$300,0)),"¿KOL no dado de alta?"))</f>
        <v/>
      </c>
      <c r="D291" s="14"/>
      <c r="E291" s="14"/>
      <c r="F291" s="18"/>
      <c r="G291" s="18"/>
      <c r="H291" s="18"/>
      <c r="I291" s="18"/>
      <c r="J291" s="15"/>
      <c r="K291" s="14"/>
    </row>
    <row r="292" customFormat="false" ht="15" hidden="false" customHeight="false" outlineLevel="0" collapsed="false">
      <c r="A292" s="16"/>
      <c r="B292" s="14"/>
      <c r="C292" s="9" t="str">
        <f aca="false">IF(B292="","",IFERROR(INDEX(KOLs!$D$2:$D$300,MATCH(B292,KOLs!$A$2:$A$300,0)),"¿KOL no dado de alta?"))</f>
        <v/>
      </c>
      <c r="D292" s="14"/>
      <c r="E292" s="14"/>
      <c r="F292" s="18"/>
      <c r="G292" s="18"/>
      <c r="H292" s="18"/>
      <c r="I292" s="18"/>
      <c r="J292" s="15"/>
      <c r="K292" s="14"/>
    </row>
    <row r="293" customFormat="false" ht="15" hidden="false" customHeight="false" outlineLevel="0" collapsed="false">
      <c r="A293" s="16"/>
      <c r="B293" s="14"/>
      <c r="C293" s="9" t="str">
        <f aca="false">IF(B293="","",IFERROR(INDEX(KOLs!$D$2:$D$300,MATCH(B293,KOLs!$A$2:$A$300,0)),"¿KOL no dado de alta?"))</f>
        <v/>
      </c>
      <c r="D293" s="14"/>
      <c r="E293" s="14"/>
      <c r="F293" s="18"/>
      <c r="G293" s="18"/>
      <c r="H293" s="18"/>
      <c r="I293" s="18"/>
      <c r="J293" s="15"/>
      <c r="K293" s="14"/>
    </row>
    <row r="294" customFormat="false" ht="15" hidden="false" customHeight="false" outlineLevel="0" collapsed="false">
      <c r="A294" s="16"/>
      <c r="B294" s="14"/>
      <c r="C294" s="9" t="str">
        <f aca="false">IF(B294="","",IFERROR(INDEX(KOLs!$D$2:$D$300,MATCH(B294,KOLs!$A$2:$A$300,0)),"¿KOL no dado de alta?"))</f>
        <v/>
      </c>
      <c r="D294" s="14"/>
      <c r="E294" s="14"/>
      <c r="F294" s="18"/>
      <c r="G294" s="18"/>
      <c r="H294" s="18"/>
      <c r="I294" s="18"/>
      <c r="J294" s="15"/>
      <c r="K294" s="14"/>
    </row>
    <row r="295" customFormat="false" ht="15" hidden="false" customHeight="false" outlineLevel="0" collapsed="false">
      <c r="A295" s="16"/>
      <c r="B295" s="14"/>
      <c r="C295" s="9" t="str">
        <f aca="false">IF(B295="","",IFERROR(INDEX(KOLs!$D$2:$D$300,MATCH(B295,KOLs!$A$2:$A$300,0)),"¿KOL no dado de alta?"))</f>
        <v/>
      </c>
      <c r="D295" s="14"/>
      <c r="E295" s="14"/>
      <c r="F295" s="18"/>
      <c r="G295" s="18"/>
      <c r="H295" s="18"/>
      <c r="I295" s="18"/>
      <c r="J295" s="15"/>
      <c r="K295" s="14"/>
    </row>
    <row r="296" customFormat="false" ht="15" hidden="false" customHeight="false" outlineLevel="0" collapsed="false">
      <c r="A296" s="16"/>
      <c r="B296" s="14"/>
      <c r="C296" s="9" t="str">
        <f aca="false">IF(B296="","",IFERROR(INDEX(KOLs!$D$2:$D$300,MATCH(B296,KOLs!$A$2:$A$300,0)),"¿KOL no dado de alta?"))</f>
        <v/>
      </c>
      <c r="D296" s="14"/>
      <c r="E296" s="14"/>
      <c r="F296" s="18"/>
      <c r="G296" s="18"/>
      <c r="H296" s="18"/>
      <c r="I296" s="18"/>
      <c r="J296" s="15"/>
      <c r="K296" s="14"/>
    </row>
    <row r="297" customFormat="false" ht="15" hidden="false" customHeight="false" outlineLevel="0" collapsed="false">
      <c r="A297" s="16"/>
      <c r="B297" s="14"/>
      <c r="C297" s="9" t="str">
        <f aca="false">IF(B297="","",IFERROR(INDEX(KOLs!$D$2:$D$300,MATCH(B297,KOLs!$A$2:$A$300,0)),"¿KOL no dado de alta?"))</f>
        <v/>
      </c>
      <c r="D297" s="14"/>
      <c r="E297" s="14"/>
      <c r="F297" s="18"/>
      <c r="G297" s="18"/>
      <c r="H297" s="18"/>
      <c r="I297" s="18"/>
      <c r="J297" s="15"/>
      <c r="K297" s="14"/>
    </row>
    <row r="298" customFormat="false" ht="15" hidden="false" customHeight="false" outlineLevel="0" collapsed="false">
      <c r="A298" s="16"/>
      <c r="B298" s="14"/>
      <c r="C298" s="9" t="str">
        <f aca="false">IF(B298="","",IFERROR(INDEX(KOLs!$D$2:$D$300,MATCH(B298,KOLs!$A$2:$A$300,0)),"¿KOL no dado de alta?"))</f>
        <v/>
      </c>
      <c r="D298" s="14"/>
      <c r="E298" s="14"/>
      <c r="F298" s="18"/>
      <c r="G298" s="18"/>
      <c r="H298" s="18"/>
      <c r="I298" s="18"/>
      <c r="J298" s="15"/>
      <c r="K298" s="14"/>
    </row>
    <row r="299" customFormat="false" ht="15" hidden="false" customHeight="false" outlineLevel="0" collapsed="false">
      <c r="A299" s="16"/>
      <c r="B299" s="14"/>
      <c r="C299" s="9" t="str">
        <f aca="false">IF(B299="","",IFERROR(INDEX(KOLs!$D$2:$D$300,MATCH(B299,KOLs!$A$2:$A$300,0)),"¿KOL no dado de alta?"))</f>
        <v/>
      </c>
      <c r="D299" s="14"/>
      <c r="E299" s="14"/>
      <c r="F299" s="18"/>
      <c r="G299" s="18"/>
      <c r="H299" s="18"/>
      <c r="I299" s="18"/>
      <c r="J299" s="15"/>
      <c r="K299" s="14"/>
    </row>
    <row r="300" customFormat="false" ht="15" hidden="false" customHeight="false" outlineLevel="0" collapsed="false">
      <c r="A300" s="16"/>
      <c r="B300" s="14"/>
      <c r="C300" s="9" t="str">
        <f aca="false">IF(B300="","",IFERROR(INDEX(KOLs!$D$2:$D$300,MATCH(B300,KOLs!$A$2:$A$300,0)),"¿KOL no dado de alta?"))</f>
        <v/>
      </c>
      <c r="D300" s="14"/>
      <c r="E300" s="14"/>
      <c r="F300" s="18"/>
      <c r="G300" s="18"/>
      <c r="H300" s="18"/>
      <c r="I300" s="18"/>
      <c r="J300" s="15"/>
      <c r="K300" s="14"/>
    </row>
  </sheetData>
  <dataValidations count="2">
    <dataValidation allowBlank="true" errorStyle="stop" operator="between" showDropDown="false" showErrorMessage="false" showInputMessage="false" sqref="B2:B300" type="list">
      <formula1>KOLNombres</formula1>
      <formula2>0</formula2>
    </dataValidation>
    <dataValidation allowBlank="true" errorStyle="stop" operator="between" showDropDown="false" showErrorMessage="false" showInputMessage="false" sqref="E2:E300" type="list">
      <formula1>"Post,Hilo,Space,Video,Otro"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8" min="7" style="0" width="26"/>
  </cols>
  <sheetData>
    <row r="1" customFormat="false" ht="15" hidden="false" customHeight="false" outlineLevel="0" collapsed="false">
      <c r="A1" s="13" t="s">
        <v>64</v>
      </c>
      <c r="B1" s="13" t="s">
        <v>65</v>
      </c>
      <c r="C1" s="13" t="s">
        <v>66</v>
      </c>
      <c r="D1" s="13" t="s">
        <v>87</v>
      </c>
      <c r="E1" s="13" t="s">
        <v>88</v>
      </c>
      <c r="F1" s="13" t="s">
        <v>42</v>
      </c>
      <c r="G1" s="13" t="s">
        <v>89</v>
      </c>
      <c r="H1" s="13" t="s">
        <v>10</v>
      </c>
    </row>
    <row r="2" customFormat="false" ht="15" hidden="false" customHeight="false" outlineLevel="0" collapsed="false">
      <c r="A2" s="16" t="s">
        <v>62</v>
      </c>
      <c r="B2" s="14" t="s">
        <v>45</v>
      </c>
      <c r="C2" s="9" t="str">
        <f aca="false">IF(B2="","",IFERROR(INDEX(KOLs!$D$2:$D$300,MATCH(B2,KOLs!$A$2:$A$300,0)),"¿KOL no dado de alta?"))</f>
        <v>GenLayer Ambassador</v>
      </c>
      <c r="D2" s="15" t="n">
        <v>500</v>
      </c>
      <c r="E2" s="14" t="s">
        <v>90</v>
      </c>
      <c r="F2" s="14" t="s">
        <v>91</v>
      </c>
      <c r="G2" s="14" t="s">
        <v>92</v>
      </c>
      <c r="H2" s="14" t="s">
        <v>86</v>
      </c>
    </row>
    <row r="3" customFormat="false" ht="15" hidden="false" customHeight="false" outlineLevel="0" collapsed="false">
      <c r="A3" s="16" t="s">
        <v>93</v>
      </c>
      <c r="B3" s="14" t="s">
        <v>53</v>
      </c>
      <c r="C3" s="9" t="str">
        <f aca="false">IF(B3="","",IFERROR(INDEX(KOLs!$D$2:$D$300,MATCH(B3,KOLs!$A$2:$A$300,0)),"¿KOL no dado de alta?"))</f>
        <v>GenLayer Ambassador</v>
      </c>
      <c r="D3" s="15" t="n">
        <v>60</v>
      </c>
      <c r="E3" s="14" t="s">
        <v>94</v>
      </c>
      <c r="F3" s="14" t="s">
        <v>91</v>
      </c>
      <c r="G3" s="14" t="s">
        <v>95</v>
      </c>
      <c r="H3" s="14" t="s">
        <v>86</v>
      </c>
    </row>
    <row r="4" customFormat="false" ht="15" hidden="false" customHeight="false" outlineLevel="0" collapsed="false">
      <c r="A4" s="16" t="s">
        <v>96</v>
      </c>
      <c r="B4" s="14" t="s">
        <v>59</v>
      </c>
      <c r="C4" s="9" t="str">
        <f aca="false">IF(B4="","",IFERROR(INDEX(KOLs!$D$2:$D$300,MATCH(B4,KOLs!$A$2:$A$300,0)),"¿KOL no dado de alta?"))</f>
        <v>Rally</v>
      </c>
      <c r="D4" s="15" t="n">
        <v>800</v>
      </c>
      <c r="E4" s="14" t="s">
        <v>90</v>
      </c>
      <c r="F4" s="14" t="s">
        <v>97</v>
      </c>
      <c r="G4" s="14"/>
      <c r="H4" s="14" t="s">
        <v>86</v>
      </c>
    </row>
    <row r="5" customFormat="false" ht="15" hidden="false" customHeight="false" outlineLevel="0" collapsed="false">
      <c r="A5" s="16"/>
      <c r="B5" s="14"/>
      <c r="C5" s="9" t="str">
        <f aca="false">IF(B5="","",IFERROR(INDEX(KOLs!$D$2:$D$300,MATCH(B5,KOLs!$A$2:$A$300,0)),"¿KOL no dado de alta?"))</f>
        <v/>
      </c>
      <c r="D5" s="15"/>
      <c r="E5" s="14"/>
      <c r="F5" s="14"/>
      <c r="G5" s="14"/>
      <c r="H5" s="14"/>
    </row>
    <row r="6" customFormat="false" ht="15" hidden="false" customHeight="false" outlineLevel="0" collapsed="false">
      <c r="A6" s="16"/>
      <c r="B6" s="14"/>
      <c r="C6" s="9" t="str">
        <f aca="false">IF(B6="","",IFERROR(INDEX(KOLs!$D$2:$D$300,MATCH(B6,KOLs!$A$2:$A$300,0)),"¿KOL no dado de alta?"))</f>
        <v/>
      </c>
      <c r="D6" s="15"/>
      <c r="E6" s="14"/>
      <c r="F6" s="14"/>
      <c r="G6" s="14"/>
      <c r="H6" s="14"/>
    </row>
    <row r="7" customFormat="false" ht="15" hidden="false" customHeight="false" outlineLevel="0" collapsed="false">
      <c r="A7" s="16"/>
      <c r="B7" s="14"/>
      <c r="C7" s="9" t="str">
        <f aca="false">IF(B7="","",IFERROR(INDEX(KOLs!$D$2:$D$300,MATCH(B7,KOLs!$A$2:$A$300,0)),"¿KOL no dado de alta?"))</f>
        <v/>
      </c>
      <c r="D7" s="15"/>
      <c r="E7" s="14"/>
      <c r="F7" s="14"/>
      <c r="G7" s="14"/>
      <c r="H7" s="14"/>
    </row>
    <row r="8" customFormat="false" ht="15" hidden="false" customHeight="false" outlineLevel="0" collapsed="false">
      <c r="A8" s="16"/>
      <c r="B8" s="14"/>
      <c r="C8" s="9" t="str">
        <f aca="false">IF(B8="","",IFERROR(INDEX(KOLs!$D$2:$D$300,MATCH(B8,KOLs!$A$2:$A$300,0)),"¿KOL no dado de alta?"))</f>
        <v/>
      </c>
      <c r="D8" s="15"/>
      <c r="E8" s="14"/>
      <c r="F8" s="14"/>
      <c r="G8" s="14"/>
      <c r="H8" s="14"/>
    </row>
    <row r="9" customFormat="false" ht="15" hidden="false" customHeight="false" outlineLevel="0" collapsed="false">
      <c r="A9" s="16"/>
      <c r="B9" s="14"/>
      <c r="C9" s="9" t="str">
        <f aca="false">IF(B9="","",IFERROR(INDEX(KOLs!$D$2:$D$300,MATCH(B9,KOLs!$A$2:$A$300,0)),"¿KOL no dado de alta?"))</f>
        <v/>
      </c>
      <c r="D9" s="15"/>
      <c r="E9" s="14"/>
      <c r="F9" s="14"/>
      <c r="G9" s="14"/>
      <c r="H9" s="14"/>
    </row>
    <row r="10" customFormat="false" ht="15" hidden="false" customHeight="false" outlineLevel="0" collapsed="false">
      <c r="A10" s="16"/>
      <c r="B10" s="14"/>
      <c r="C10" s="9" t="str">
        <f aca="false">IF(B10="","",IFERROR(INDEX(KOLs!$D$2:$D$300,MATCH(B10,KOLs!$A$2:$A$300,0)),"¿KOL no dado de alta?"))</f>
        <v/>
      </c>
      <c r="D10" s="15"/>
      <c r="E10" s="14"/>
      <c r="F10" s="14"/>
      <c r="G10" s="14"/>
      <c r="H10" s="14"/>
    </row>
    <row r="11" customFormat="false" ht="15" hidden="false" customHeight="false" outlineLevel="0" collapsed="false">
      <c r="A11" s="16"/>
      <c r="B11" s="14"/>
      <c r="C11" s="9" t="str">
        <f aca="false">IF(B11="","",IFERROR(INDEX(KOLs!$D$2:$D$300,MATCH(B11,KOLs!$A$2:$A$300,0)),"¿KOL no dado de alta?"))</f>
        <v/>
      </c>
      <c r="D11" s="15"/>
      <c r="E11" s="14"/>
      <c r="F11" s="14"/>
      <c r="G11" s="14"/>
      <c r="H11" s="14"/>
    </row>
    <row r="12" customFormat="false" ht="15" hidden="false" customHeight="false" outlineLevel="0" collapsed="false">
      <c r="A12" s="16"/>
      <c r="B12" s="14"/>
      <c r="C12" s="9" t="str">
        <f aca="false">IF(B12="","",IFERROR(INDEX(KOLs!$D$2:$D$300,MATCH(B12,KOLs!$A$2:$A$300,0)),"¿KOL no dado de alta?"))</f>
        <v/>
      </c>
      <c r="D12" s="15"/>
      <c r="E12" s="14"/>
      <c r="F12" s="14"/>
      <c r="G12" s="14"/>
      <c r="H12" s="14"/>
    </row>
    <row r="13" customFormat="false" ht="15" hidden="false" customHeight="false" outlineLevel="0" collapsed="false">
      <c r="A13" s="16"/>
      <c r="B13" s="14"/>
      <c r="C13" s="9" t="str">
        <f aca="false">IF(B13="","",IFERROR(INDEX(KOLs!$D$2:$D$300,MATCH(B13,KOLs!$A$2:$A$300,0)),"¿KOL no dado de alta?"))</f>
        <v/>
      </c>
      <c r="D13" s="15"/>
      <c r="E13" s="14"/>
      <c r="F13" s="14"/>
      <c r="G13" s="14"/>
      <c r="H13" s="14"/>
    </row>
    <row r="14" customFormat="false" ht="15" hidden="false" customHeight="false" outlineLevel="0" collapsed="false">
      <c r="A14" s="16"/>
      <c r="B14" s="14"/>
      <c r="C14" s="9" t="str">
        <f aca="false">IF(B14="","",IFERROR(INDEX(KOLs!$D$2:$D$300,MATCH(B14,KOLs!$A$2:$A$300,0)),"¿KOL no dado de alta?"))</f>
        <v/>
      </c>
      <c r="D14" s="15"/>
      <c r="E14" s="14"/>
      <c r="F14" s="14"/>
      <c r="G14" s="14"/>
      <c r="H14" s="14"/>
    </row>
    <row r="15" customFormat="false" ht="15" hidden="false" customHeight="false" outlineLevel="0" collapsed="false">
      <c r="A15" s="16"/>
      <c r="B15" s="14"/>
      <c r="C15" s="9" t="str">
        <f aca="false">IF(B15="","",IFERROR(INDEX(KOLs!$D$2:$D$300,MATCH(B15,KOLs!$A$2:$A$300,0)),"¿KOL no dado de alta?"))</f>
        <v/>
      </c>
      <c r="D15" s="15"/>
      <c r="E15" s="14"/>
      <c r="F15" s="14"/>
      <c r="G15" s="14"/>
      <c r="H15" s="14"/>
    </row>
    <row r="16" customFormat="false" ht="15" hidden="false" customHeight="false" outlineLevel="0" collapsed="false">
      <c r="A16" s="16"/>
      <c r="B16" s="14"/>
      <c r="C16" s="9" t="str">
        <f aca="false">IF(B16="","",IFERROR(INDEX(KOLs!$D$2:$D$300,MATCH(B16,KOLs!$A$2:$A$300,0)),"¿KOL no dado de alta?"))</f>
        <v/>
      </c>
      <c r="D16" s="15"/>
      <c r="E16" s="14"/>
      <c r="F16" s="14"/>
      <c r="G16" s="14"/>
      <c r="H16" s="14"/>
    </row>
    <row r="17" customFormat="false" ht="15" hidden="false" customHeight="false" outlineLevel="0" collapsed="false">
      <c r="A17" s="16"/>
      <c r="B17" s="14"/>
      <c r="C17" s="9" t="str">
        <f aca="false">IF(B17="","",IFERROR(INDEX(KOLs!$D$2:$D$300,MATCH(B17,KOLs!$A$2:$A$300,0)),"¿KOL no dado de alta?"))</f>
        <v/>
      </c>
      <c r="D17" s="15"/>
      <c r="E17" s="14"/>
      <c r="F17" s="14"/>
      <c r="G17" s="14"/>
      <c r="H17" s="14"/>
    </row>
    <row r="18" customFormat="false" ht="15" hidden="false" customHeight="false" outlineLevel="0" collapsed="false">
      <c r="A18" s="16"/>
      <c r="B18" s="14"/>
      <c r="C18" s="9" t="str">
        <f aca="false">IF(B18="","",IFERROR(INDEX(KOLs!$D$2:$D$300,MATCH(B18,KOLs!$A$2:$A$300,0)),"¿KOL no dado de alta?"))</f>
        <v/>
      </c>
      <c r="D18" s="15"/>
      <c r="E18" s="14"/>
      <c r="F18" s="14"/>
      <c r="G18" s="14"/>
      <c r="H18" s="14"/>
    </row>
    <row r="19" customFormat="false" ht="15" hidden="false" customHeight="false" outlineLevel="0" collapsed="false">
      <c r="A19" s="16"/>
      <c r="B19" s="14"/>
      <c r="C19" s="9" t="str">
        <f aca="false">IF(B19="","",IFERROR(INDEX(KOLs!$D$2:$D$300,MATCH(B19,KOLs!$A$2:$A$300,0)),"¿KOL no dado de alta?"))</f>
        <v/>
      </c>
      <c r="D19" s="15"/>
      <c r="E19" s="14"/>
      <c r="F19" s="14"/>
      <c r="G19" s="14"/>
      <c r="H19" s="14"/>
    </row>
    <row r="20" customFormat="false" ht="15" hidden="false" customHeight="false" outlineLevel="0" collapsed="false">
      <c r="A20" s="16"/>
      <c r="B20" s="14"/>
      <c r="C20" s="9" t="str">
        <f aca="false">IF(B20="","",IFERROR(INDEX(KOLs!$D$2:$D$300,MATCH(B20,KOLs!$A$2:$A$300,0)),"¿KOL no dado de alta?"))</f>
        <v/>
      </c>
      <c r="D20" s="15"/>
      <c r="E20" s="14"/>
      <c r="F20" s="14"/>
      <c r="G20" s="14"/>
      <c r="H20" s="14"/>
    </row>
    <row r="21" customFormat="false" ht="15" hidden="false" customHeight="false" outlineLevel="0" collapsed="false">
      <c r="A21" s="16"/>
      <c r="B21" s="14"/>
      <c r="C21" s="9" t="str">
        <f aca="false">IF(B21="","",IFERROR(INDEX(KOLs!$D$2:$D$300,MATCH(B21,KOLs!$A$2:$A$300,0)),"¿KOL no dado de alta?"))</f>
        <v/>
      </c>
      <c r="D21" s="15"/>
      <c r="E21" s="14"/>
      <c r="F21" s="14"/>
      <c r="G21" s="14"/>
      <c r="H21" s="14"/>
    </row>
    <row r="22" customFormat="false" ht="15" hidden="false" customHeight="false" outlineLevel="0" collapsed="false">
      <c r="A22" s="16"/>
      <c r="B22" s="14"/>
      <c r="C22" s="9" t="str">
        <f aca="false">IF(B22="","",IFERROR(INDEX(KOLs!$D$2:$D$300,MATCH(B22,KOLs!$A$2:$A$300,0)),"¿KOL no dado de alta?"))</f>
        <v/>
      </c>
      <c r="D22" s="15"/>
      <c r="E22" s="14"/>
      <c r="F22" s="14"/>
      <c r="G22" s="14"/>
      <c r="H22" s="14"/>
    </row>
    <row r="23" customFormat="false" ht="15" hidden="false" customHeight="false" outlineLevel="0" collapsed="false">
      <c r="A23" s="16"/>
      <c r="B23" s="14"/>
      <c r="C23" s="9" t="str">
        <f aca="false">IF(B23="","",IFERROR(INDEX(KOLs!$D$2:$D$300,MATCH(B23,KOLs!$A$2:$A$300,0)),"¿KOL no dado de alta?"))</f>
        <v/>
      </c>
      <c r="D23" s="15"/>
      <c r="E23" s="14"/>
      <c r="F23" s="14"/>
      <c r="G23" s="14"/>
      <c r="H23" s="14"/>
    </row>
    <row r="24" customFormat="false" ht="15" hidden="false" customHeight="false" outlineLevel="0" collapsed="false">
      <c r="A24" s="16"/>
      <c r="B24" s="14"/>
      <c r="C24" s="9" t="str">
        <f aca="false">IF(B24="","",IFERROR(INDEX(KOLs!$D$2:$D$300,MATCH(B24,KOLs!$A$2:$A$300,0)),"¿KOL no dado de alta?"))</f>
        <v/>
      </c>
      <c r="D24" s="15"/>
      <c r="E24" s="14"/>
      <c r="F24" s="14"/>
      <c r="G24" s="14"/>
      <c r="H24" s="14"/>
    </row>
    <row r="25" customFormat="false" ht="15" hidden="false" customHeight="false" outlineLevel="0" collapsed="false">
      <c r="A25" s="16"/>
      <c r="B25" s="14"/>
      <c r="C25" s="9" t="str">
        <f aca="false">IF(B25="","",IFERROR(INDEX(KOLs!$D$2:$D$300,MATCH(B25,KOLs!$A$2:$A$300,0)),"¿KOL no dado de alta?"))</f>
        <v/>
      </c>
      <c r="D25" s="15"/>
      <c r="E25" s="14"/>
      <c r="F25" s="14"/>
      <c r="G25" s="14"/>
      <c r="H25" s="14"/>
    </row>
    <row r="26" customFormat="false" ht="15" hidden="false" customHeight="false" outlineLevel="0" collapsed="false">
      <c r="A26" s="16"/>
      <c r="B26" s="14"/>
      <c r="C26" s="9" t="str">
        <f aca="false">IF(B26="","",IFERROR(INDEX(KOLs!$D$2:$D$300,MATCH(B26,KOLs!$A$2:$A$300,0)),"¿KOL no dado de alta?"))</f>
        <v/>
      </c>
      <c r="D26" s="15"/>
      <c r="E26" s="14"/>
      <c r="F26" s="14"/>
      <c r="G26" s="14"/>
      <c r="H26" s="14"/>
    </row>
    <row r="27" customFormat="false" ht="15" hidden="false" customHeight="false" outlineLevel="0" collapsed="false">
      <c r="A27" s="16"/>
      <c r="B27" s="14"/>
      <c r="C27" s="9" t="str">
        <f aca="false">IF(B27="","",IFERROR(INDEX(KOLs!$D$2:$D$300,MATCH(B27,KOLs!$A$2:$A$300,0)),"¿KOL no dado de alta?"))</f>
        <v/>
      </c>
      <c r="D27" s="15"/>
      <c r="E27" s="14"/>
      <c r="F27" s="14"/>
      <c r="G27" s="14"/>
      <c r="H27" s="14"/>
    </row>
    <row r="28" customFormat="false" ht="15" hidden="false" customHeight="false" outlineLevel="0" collapsed="false">
      <c r="A28" s="16"/>
      <c r="B28" s="14"/>
      <c r="C28" s="9" t="str">
        <f aca="false">IF(B28="","",IFERROR(INDEX(KOLs!$D$2:$D$300,MATCH(B28,KOLs!$A$2:$A$300,0)),"¿KOL no dado de alta?"))</f>
        <v/>
      </c>
      <c r="D28" s="15"/>
      <c r="E28" s="14"/>
      <c r="F28" s="14"/>
      <c r="G28" s="14"/>
      <c r="H28" s="14"/>
    </row>
    <row r="29" customFormat="false" ht="15" hidden="false" customHeight="false" outlineLevel="0" collapsed="false">
      <c r="A29" s="16"/>
      <c r="B29" s="14"/>
      <c r="C29" s="9" t="str">
        <f aca="false">IF(B29="","",IFERROR(INDEX(KOLs!$D$2:$D$300,MATCH(B29,KOLs!$A$2:$A$300,0)),"¿KOL no dado de alta?"))</f>
        <v/>
      </c>
      <c r="D29" s="15"/>
      <c r="E29" s="14"/>
      <c r="F29" s="14"/>
      <c r="G29" s="14"/>
      <c r="H29" s="14"/>
    </row>
    <row r="30" customFormat="false" ht="15" hidden="false" customHeight="false" outlineLevel="0" collapsed="false">
      <c r="A30" s="16"/>
      <c r="B30" s="14"/>
      <c r="C30" s="9" t="str">
        <f aca="false">IF(B30="","",IFERROR(INDEX(KOLs!$D$2:$D$300,MATCH(B30,KOLs!$A$2:$A$300,0)),"¿KOL no dado de alta?"))</f>
        <v/>
      </c>
      <c r="D30" s="15"/>
      <c r="E30" s="14"/>
      <c r="F30" s="14"/>
      <c r="G30" s="14"/>
      <c r="H30" s="14"/>
    </row>
    <row r="31" customFormat="false" ht="15" hidden="false" customHeight="false" outlineLevel="0" collapsed="false">
      <c r="A31" s="16"/>
      <c r="B31" s="14"/>
      <c r="C31" s="9" t="str">
        <f aca="false">IF(B31="","",IFERROR(INDEX(KOLs!$D$2:$D$300,MATCH(B31,KOLs!$A$2:$A$300,0)),"¿KOL no dado de alta?"))</f>
        <v/>
      </c>
      <c r="D31" s="15"/>
      <c r="E31" s="14"/>
      <c r="F31" s="14"/>
      <c r="G31" s="14"/>
      <c r="H31" s="14"/>
    </row>
    <row r="32" customFormat="false" ht="15" hidden="false" customHeight="false" outlineLevel="0" collapsed="false">
      <c r="A32" s="16"/>
      <c r="B32" s="14"/>
      <c r="C32" s="9" t="str">
        <f aca="false">IF(B32="","",IFERROR(INDEX(KOLs!$D$2:$D$300,MATCH(B32,KOLs!$A$2:$A$300,0)),"¿KOL no dado de alta?"))</f>
        <v/>
      </c>
      <c r="D32" s="15"/>
      <c r="E32" s="14"/>
      <c r="F32" s="14"/>
      <c r="G32" s="14"/>
      <c r="H32" s="14"/>
    </row>
    <row r="33" customFormat="false" ht="15" hidden="false" customHeight="false" outlineLevel="0" collapsed="false">
      <c r="A33" s="16"/>
      <c r="B33" s="14"/>
      <c r="C33" s="9" t="str">
        <f aca="false">IF(B33="","",IFERROR(INDEX(KOLs!$D$2:$D$300,MATCH(B33,KOLs!$A$2:$A$300,0)),"¿KOL no dado de alta?"))</f>
        <v/>
      </c>
      <c r="D33" s="15"/>
      <c r="E33" s="14"/>
      <c r="F33" s="14"/>
      <c r="G33" s="14"/>
      <c r="H33" s="14"/>
    </row>
    <row r="34" customFormat="false" ht="15" hidden="false" customHeight="false" outlineLevel="0" collapsed="false">
      <c r="A34" s="16"/>
      <c r="B34" s="14"/>
      <c r="C34" s="9" t="str">
        <f aca="false">IF(B34="","",IFERROR(INDEX(KOLs!$D$2:$D$300,MATCH(B34,KOLs!$A$2:$A$300,0)),"¿KOL no dado de alta?"))</f>
        <v/>
      </c>
      <c r="D34" s="15"/>
      <c r="E34" s="14"/>
      <c r="F34" s="14"/>
      <c r="G34" s="14"/>
      <c r="H34" s="14"/>
    </row>
    <row r="35" customFormat="false" ht="15" hidden="false" customHeight="false" outlineLevel="0" collapsed="false">
      <c r="A35" s="16"/>
      <c r="B35" s="14"/>
      <c r="C35" s="9" t="str">
        <f aca="false">IF(B35="","",IFERROR(INDEX(KOLs!$D$2:$D$300,MATCH(B35,KOLs!$A$2:$A$300,0)),"¿KOL no dado de alta?"))</f>
        <v/>
      </c>
      <c r="D35" s="15"/>
      <c r="E35" s="14"/>
      <c r="F35" s="14"/>
      <c r="G35" s="14"/>
      <c r="H35" s="14"/>
    </row>
    <row r="36" customFormat="false" ht="15" hidden="false" customHeight="false" outlineLevel="0" collapsed="false">
      <c r="A36" s="16"/>
      <c r="B36" s="14"/>
      <c r="C36" s="9" t="str">
        <f aca="false">IF(B36="","",IFERROR(INDEX(KOLs!$D$2:$D$300,MATCH(B36,KOLs!$A$2:$A$300,0)),"¿KOL no dado de alta?"))</f>
        <v/>
      </c>
      <c r="D36" s="15"/>
      <c r="E36" s="14"/>
      <c r="F36" s="14"/>
      <c r="G36" s="14"/>
      <c r="H36" s="14"/>
    </row>
    <row r="37" customFormat="false" ht="15" hidden="false" customHeight="false" outlineLevel="0" collapsed="false">
      <c r="A37" s="16"/>
      <c r="B37" s="14"/>
      <c r="C37" s="9" t="str">
        <f aca="false">IF(B37="","",IFERROR(INDEX(KOLs!$D$2:$D$300,MATCH(B37,KOLs!$A$2:$A$300,0)),"¿KOL no dado de alta?"))</f>
        <v/>
      </c>
      <c r="D37" s="15"/>
      <c r="E37" s="14"/>
      <c r="F37" s="14"/>
      <c r="G37" s="14"/>
      <c r="H37" s="14"/>
    </row>
    <row r="38" customFormat="false" ht="15" hidden="false" customHeight="false" outlineLevel="0" collapsed="false">
      <c r="A38" s="16"/>
      <c r="B38" s="14"/>
      <c r="C38" s="9" t="str">
        <f aca="false">IF(B38="","",IFERROR(INDEX(KOLs!$D$2:$D$300,MATCH(B38,KOLs!$A$2:$A$300,0)),"¿KOL no dado de alta?"))</f>
        <v/>
      </c>
      <c r="D38" s="15"/>
      <c r="E38" s="14"/>
      <c r="F38" s="14"/>
      <c r="G38" s="14"/>
      <c r="H38" s="14"/>
    </row>
    <row r="39" customFormat="false" ht="15" hidden="false" customHeight="false" outlineLevel="0" collapsed="false">
      <c r="A39" s="16"/>
      <c r="B39" s="14"/>
      <c r="C39" s="9" t="str">
        <f aca="false">IF(B39="","",IFERROR(INDEX(KOLs!$D$2:$D$300,MATCH(B39,KOLs!$A$2:$A$300,0)),"¿KOL no dado de alta?"))</f>
        <v/>
      </c>
      <c r="D39" s="15"/>
      <c r="E39" s="14"/>
      <c r="F39" s="14"/>
      <c r="G39" s="14"/>
      <c r="H39" s="14"/>
    </row>
    <row r="40" customFormat="false" ht="15" hidden="false" customHeight="false" outlineLevel="0" collapsed="false">
      <c r="A40" s="16"/>
      <c r="B40" s="14"/>
      <c r="C40" s="9" t="str">
        <f aca="false">IF(B40="","",IFERROR(INDEX(KOLs!$D$2:$D$300,MATCH(B40,KOLs!$A$2:$A$300,0)),"¿KOL no dado de alta?"))</f>
        <v/>
      </c>
      <c r="D40" s="15"/>
      <c r="E40" s="14"/>
      <c r="F40" s="14"/>
      <c r="G40" s="14"/>
      <c r="H40" s="14"/>
    </row>
    <row r="41" customFormat="false" ht="15" hidden="false" customHeight="false" outlineLevel="0" collapsed="false">
      <c r="A41" s="16"/>
      <c r="B41" s="14"/>
      <c r="C41" s="9" t="str">
        <f aca="false">IF(B41="","",IFERROR(INDEX(KOLs!$D$2:$D$300,MATCH(B41,KOLs!$A$2:$A$300,0)),"¿KOL no dado de alta?"))</f>
        <v/>
      </c>
      <c r="D41" s="15"/>
      <c r="E41" s="14"/>
      <c r="F41" s="14"/>
      <c r="G41" s="14"/>
      <c r="H41" s="14"/>
    </row>
    <row r="42" customFormat="false" ht="15" hidden="false" customHeight="false" outlineLevel="0" collapsed="false">
      <c r="A42" s="16"/>
      <c r="B42" s="14"/>
      <c r="C42" s="9" t="str">
        <f aca="false">IF(B42="","",IFERROR(INDEX(KOLs!$D$2:$D$300,MATCH(B42,KOLs!$A$2:$A$300,0)),"¿KOL no dado de alta?"))</f>
        <v/>
      </c>
      <c r="D42" s="15"/>
      <c r="E42" s="14"/>
      <c r="F42" s="14"/>
      <c r="G42" s="14"/>
      <c r="H42" s="14"/>
    </row>
    <row r="43" customFormat="false" ht="15" hidden="false" customHeight="false" outlineLevel="0" collapsed="false">
      <c r="A43" s="16"/>
      <c r="B43" s="14"/>
      <c r="C43" s="9" t="str">
        <f aca="false">IF(B43="","",IFERROR(INDEX(KOLs!$D$2:$D$300,MATCH(B43,KOLs!$A$2:$A$300,0)),"¿KOL no dado de alta?"))</f>
        <v/>
      </c>
      <c r="D43" s="15"/>
      <c r="E43" s="14"/>
      <c r="F43" s="14"/>
      <c r="G43" s="14"/>
      <c r="H43" s="14"/>
    </row>
    <row r="44" customFormat="false" ht="15" hidden="false" customHeight="false" outlineLevel="0" collapsed="false">
      <c r="A44" s="16"/>
      <c r="B44" s="14"/>
      <c r="C44" s="9" t="str">
        <f aca="false">IF(B44="","",IFERROR(INDEX(KOLs!$D$2:$D$300,MATCH(B44,KOLs!$A$2:$A$300,0)),"¿KOL no dado de alta?"))</f>
        <v/>
      </c>
      <c r="D44" s="15"/>
      <c r="E44" s="14"/>
      <c r="F44" s="14"/>
      <c r="G44" s="14"/>
      <c r="H44" s="14"/>
    </row>
    <row r="45" customFormat="false" ht="15" hidden="false" customHeight="false" outlineLevel="0" collapsed="false">
      <c r="A45" s="16"/>
      <c r="B45" s="14"/>
      <c r="C45" s="9" t="str">
        <f aca="false">IF(B45="","",IFERROR(INDEX(KOLs!$D$2:$D$300,MATCH(B45,KOLs!$A$2:$A$300,0)),"¿KOL no dado de alta?"))</f>
        <v/>
      </c>
      <c r="D45" s="15"/>
      <c r="E45" s="14"/>
      <c r="F45" s="14"/>
      <c r="G45" s="14"/>
      <c r="H45" s="14"/>
    </row>
    <row r="46" customFormat="false" ht="15" hidden="false" customHeight="false" outlineLevel="0" collapsed="false">
      <c r="A46" s="16"/>
      <c r="B46" s="14"/>
      <c r="C46" s="9" t="str">
        <f aca="false">IF(B46="","",IFERROR(INDEX(KOLs!$D$2:$D$300,MATCH(B46,KOLs!$A$2:$A$300,0)),"¿KOL no dado de alta?"))</f>
        <v/>
      </c>
      <c r="D46" s="15"/>
      <c r="E46" s="14"/>
      <c r="F46" s="14"/>
      <c r="G46" s="14"/>
      <c r="H46" s="14"/>
    </row>
    <row r="47" customFormat="false" ht="15" hidden="false" customHeight="false" outlineLevel="0" collapsed="false">
      <c r="A47" s="16"/>
      <c r="B47" s="14"/>
      <c r="C47" s="9" t="str">
        <f aca="false">IF(B47="","",IFERROR(INDEX(KOLs!$D$2:$D$300,MATCH(B47,KOLs!$A$2:$A$300,0)),"¿KOL no dado de alta?"))</f>
        <v/>
      </c>
      <c r="D47" s="15"/>
      <c r="E47" s="14"/>
      <c r="F47" s="14"/>
      <c r="G47" s="14"/>
      <c r="H47" s="14"/>
    </row>
    <row r="48" customFormat="false" ht="15" hidden="false" customHeight="false" outlineLevel="0" collapsed="false">
      <c r="A48" s="16"/>
      <c r="B48" s="14"/>
      <c r="C48" s="9" t="str">
        <f aca="false">IF(B48="","",IFERROR(INDEX(KOLs!$D$2:$D$300,MATCH(B48,KOLs!$A$2:$A$300,0)),"¿KOL no dado de alta?"))</f>
        <v/>
      </c>
      <c r="D48" s="15"/>
      <c r="E48" s="14"/>
      <c r="F48" s="14"/>
      <c r="G48" s="14"/>
      <c r="H48" s="14"/>
    </row>
    <row r="49" customFormat="false" ht="15" hidden="false" customHeight="false" outlineLevel="0" collapsed="false">
      <c r="A49" s="16"/>
      <c r="B49" s="14"/>
      <c r="C49" s="9" t="str">
        <f aca="false">IF(B49="","",IFERROR(INDEX(KOLs!$D$2:$D$300,MATCH(B49,KOLs!$A$2:$A$300,0)),"¿KOL no dado de alta?"))</f>
        <v/>
      </c>
      <c r="D49" s="15"/>
      <c r="E49" s="14"/>
      <c r="F49" s="14"/>
      <c r="G49" s="14"/>
      <c r="H49" s="14"/>
    </row>
    <row r="50" customFormat="false" ht="15" hidden="false" customHeight="false" outlineLevel="0" collapsed="false">
      <c r="A50" s="16"/>
      <c r="B50" s="14"/>
      <c r="C50" s="9" t="str">
        <f aca="false">IF(B50="","",IFERROR(INDEX(KOLs!$D$2:$D$300,MATCH(B50,KOLs!$A$2:$A$300,0)),"¿KOL no dado de alta?"))</f>
        <v/>
      </c>
      <c r="D50" s="15"/>
      <c r="E50" s="14"/>
      <c r="F50" s="14"/>
      <c r="G50" s="14"/>
      <c r="H50" s="14"/>
    </row>
    <row r="51" customFormat="false" ht="15" hidden="false" customHeight="false" outlineLevel="0" collapsed="false">
      <c r="A51" s="16"/>
      <c r="B51" s="14"/>
      <c r="C51" s="9" t="str">
        <f aca="false">IF(B51="","",IFERROR(INDEX(KOLs!$D$2:$D$300,MATCH(B51,KOLs!$A$2:$A$300,0)),"¿KOL no dado de alta?"))</f>
        <v/>
      </c>
      <c r="D51" s="15"/>
      <c r="E51" s="14"/>
      <c r="F51" s="14"/>
      <c r="G51" s="14"/>
      <c r="H51" s="14"/>
    </row>
    <row r="52" customFormat="false" ht="15" hidden="false" customHeight="false" outlineLevel="0" collapsed="false">
      <c r="A52" s="16"/>
      <c r="B52" s="14"/>
      <c r="C52" s="9" t="str">
        <f aca="false">IF(B52="","",IFERROR(INDEX(KOLs!$D$2:$D$300,MATCH(B52,KOLs!$A$2:$A$300,0)),"¿KOL no dado de alta?"))</f>
        <v/>
      </c>
      <c r="D52" s="15"/>
      <c r="E52" s="14"/>
      <c r="F52" s="14"/>
      <c r="G52" s="14"/>
      <c r="H52" s="14"/>
    </row>
    <row r="53" customFormat="false" ht="15" hidden="false" customHeight="false" outlineLevel="0" collapsed="false">
      <c r="A53" s="16"/>
      <c r="B53" s="14"/>
      <c r="C53" s="9" t="str">
        <f aca="false">IF(B53="","",IFERROR(INDEX(KOLs!$D$2:$D$300,MATCH(B53,KOLs!$A$2:$A$300,0)),"¿KOL no dado de alta?"))</f>
        <v/>
      </c>
      <c r="D53" s="15"/>
      <c r="E53" s="14"/>
      <c r="F53" s="14"/>
      <c r="G53" s="14"/>
      <c r="H53" s="14"/>
    </row>
    <row r="54" customFormat="false" ht="15" hidden="false" customHeight="false" outlineLevel="0" collapsed="false">
      <c r="A54" s="16"/>
      <c r="B54" s="14"/>
      <c r="C54" s="9" t="str">
        <f aca="false">IF(B54="","",IFERROR(INDEX(KOLs!$D$2:$D$300,MATCH(B54,KOLs!$A$2:$A$300,0)),"¿KOL no dado de alta?"))</f>
        <v/>
      </c>
      <c r="D54" s="15"/>
      <c r="E54" s="14"/>
      <c r="F54" s="14"/>
      <c r="G54" s="14"/>
      <c r="H54" s="14"/>
    </row>
    <row r="55" customFormat="false" ht="15" hidden="false" customHeight="false" outlineLevel="0" collapsed="false">
      <c r="A55" s="16"/>
      <c r="B55" s="14"/>
      <c r="C55" s="9" t="str">
        <f aca="false">IF(B55="","",IFERROR(INDEX(KOLs!$D$2:$D$300,MATCH(B55,KOLs!$A$2:$A$300,0)),"¿KOL no dado de alta?"))</f>
        <v/>
      </c>
      <c r="D55" s="15"/>
      <c r="E55" s="14"/>
      <c r="F55" s="14"/>
      <c r="G55" s="14"/>
      <c r="H55" s="14"/>
    </row>
    <row r="56" customFormat="false" ht="15" hidden="false" customHeight="false" outlineLevel="0" collapsed="false">
      <c r="A56" s="16"/>
      <c r="B56" s="14"/>
      <c r="C56" s="9" t="str">
        <f aca="false">IF(B56="","",IFERROR(INDEX(KOLs!$D$2:$D$300,MATCH(B56,KOLs!$A$2:$A$300,0)),"¿KOL no dado de alta?"))</f>
        <v/>
      </c>
      <c r="D56" s="15"/>
      <c r="E56" s="14"/>
      <c r="F56" s="14"/>
      <c r="G56" s="14"/>
      <c r="H56" s="14"/>
    </row>
    <row r="57" customFormat="false" ht="15" hidden="false" customHeight="false" outlineLevel="0" collapsed="false">
      <c r="A57" s="16"/>
      <c r="B57" s="14"/>
      <c r="C57" s="9" t="str">
        <f aca="false">IF(B57="","",IFERROR(INDEX(KOLs!$D$2:$D$300,MATCH(B57,KOLs!$A$2:$A$300,0)),"¿KOL no dado de alta?"))</f>
        <v/>
      </c>
      <c r="D57" s="15"/>
      <c r="E57" s="14"/>
      <c r="F57" s="14"/>
      <c r="G57" s="14"/>
      <c r="H57" s="14"/>
    </row>
    <row r="58" customFormat="false" ht="15" hidden="false" customHeight="false" outlineLevel="0" collapsed="false">
      <c r="A58" s="16"/>
      <c r="B58" s="14"/>
      <c r="C58" s="9" t="str">
        <f aca="false">IF(B58="","",IFERROR(INDEX(KOLs!$D$2:$D$300,MATCH(B58,KOLs!$A$2:$A$300,0)),"¿KOL no dado de alta?"))</f>
        <v/>
      </c>
      <c r="D58" s="15"/>
      <c r="E58" s="14"/>
      <c r="F58" s="14"/>
      <c r="G58" s="14"/>
      <c r="H58" s="14"/>
    </row>
    <row r="59" customFormat="false" ht="15" hidden="false" customHeight="false" outlineLevel="0" collapsed="false">
      <c r="A59" s="16"/>
      <c r="B59" s="14"/>
      <c r="C59" s="9" t="str">
        <f aca="false">IF(B59="","",IFERROR(INDEX(KOLs!$D$2:$D$300,MATCH(B59,KOLs!$A$2:$A$300,0)),"¿KOL no dado de alta?"))</f>
        <v/>
      </c>
      <c r="D59" s="15"/>
      <c r="E59" s="14"/>
      <c r="F59" s="14"/>
      <c r="G59" s="14"/>
      <c r="H59" s="14"/>
    </row>
    <row r="60" customFormat="false" ht="15" hidden="false" customHeight="false" outlineLevel="0" collapsed="false">
      <c r="A60" s="16"/>
      <c r="B60" s="14"/>
      <c r="C60" s="9" t="str">
        <f aca="false">IF(B60="","",IFERROR(INDEX(KOLs!$D$2:$D$300,MATCH(B60,KOLs!$A$2:$A$300,0)),"¿KOL no dado de alta?"))</f>
        <v/>
      </c>
      <c r="D60" s="15"/>
      <c r="E60" s="14"/>
      <c r="F60" s="14"/>
      <c r="G60" s="14"/>
      <c r="H60" s="14"/>
    </row>
    <row r="61" customFormat="false" ht="15" hidden="false" customHeight="false" outlineLevel="0" collapsed="false">
      <c r="A61" s="16"/>
      <c r="B61" s="14"/>
      <c r="C61" s="9" t="str">
        <f aca="false">IF(B61="","",IFERROR(INDEX(KOLs!$D$2:$D$300,MATCH(B61,KOLs!$A$2:$A$300,0)),"¿KOL no dado de alta?"))</f>
        <v/>
      </c>
      <c r="D61" s="15"/>
      <c r="E61" s="14"/>
      <c r="F61" s="14"/>
      <c r="G61" s="14"/>
      <c r="H61" s="14"/>
    </row>
    <row r="62" customFormat="false" ht="15" hidden="false" customHeight="false" outlineLevel="0" collapsed="false">
      <c r="A62" s="16"/>
      <c r="B62" s="14"/>
      <c r="C62" s="9" t="str">
        <f aca="false">IF(B62="","",IFERROR(INDEX(KOLs!$D$2:$D$300,MATCH(B62,KOLs!$A$2:$A$300,0)),"¿KOL no dado de alta?"))</f>
        <v/>
      </c>
      <c r="D62" s="15"/>
      <c r="E62" s="14"/>
      <c r="F62" s="14"/>
      <c r="G62" s="14"/>
      <c r="H62" s="14"/>
    </row>
    <row r="63" customFormat="false" ht="15" hidden="false" customHeight="false" outlineLevel="0" collapsed="false">
      <c r="A63" s="16"/>
      <c r="B63" s="14"/>
      <c r="C63" s="9" t="str">
        <f aca="false">IF(B63="","",IFERROR(INDEX(KOLs!$D$2:$D$300,MATCH(B63,KOLs!$A$2:$A$300,0)),"¿KOL no dado de alta?"))</f>
        <v/>
      </c>
      <c r="D63" s="15"/>
      <c r="E63" s="14"/>
      <c r="F63" s="14"/>
      <c r="G63" s="14"/>
      <c r="H63" s="14"/>
    </row>
    <row r="64" customFormat="false" ht="15" hidden="false" customHeight="false" outlineLevel="0" collapsed="false">
      <c r="A64" s="16"/>
      <c r="B64" s="14"/>
      <c r="C64" s="9" t="str">
        <f aca="false">IF(B64="","",IFERROR(INDEX(KOLs!$D$2:$D$300,MATCH(B64,KOLs!$A$2:$A$300,0)),"¿KOL no dado de alta?"))</f>
        <v/>
      </c>
      <c r="D64" s="15"/>
      <c r="E64" s="14"/>
      <c r="F64" s="14"/>
      <c r="G64" s="14"/>
      <c r="H64" s="14"/>
    </row>
    <row r="65" customFormat="false" ht="15" hidden="false" customHeight="false" outlineLevel="0" collapsed="false">
      <c r="A65" s="16"/>
      <c r="B65" s="14"/>
      <c r="C65" s="9" t="str">
        <f aca="false">IF(B65="","",IFERROR(INDEX(KOLs!$D$2:$D$300,MATCH(B65,KOLs!$A$2:$A$300,0)),"¿KOL no dado de alta?"))</f>
        <v/>
      </c>
      <c r="D65" s="15"/>
      <c r="E65" s="14"/>
      <c r="F65" s="14"/>
      <c r="G65" s="14"/>
      <c r="H65" s="14"/>
    </row>
    <row r="66" customFormat="false" ht="15" hidden="false" customHeight="false" outlineLevel="0" collapsed="false">
      <c r="A66" s="16"/>
      <c r="B66" s="14"/>
      <c r="C66" s="9" t="str">
        <f aca="false">IF(B66="","",IFERROR(INDEX(KOLs!$D$2:$D$300,MATCH(B66,KOLs!$A$2:$A$300,0)),"¿KOL no dado de alta?"))</f>
        <v/>
      </c>
      <c r="D66" s="15"/>
      <c r="E66" s="14"/>
      <c r="F66" s="14"/>
      <c r="G66" s="14"/>
      <c r="H66" s="14"/>
    </row>
    <row r="67" customFormat="false" ht="15" hidden="false" customHeight="false" outlineLevel="0" collapsed="false">
      <c r="A67" s="16"/>
      <c r="B67" s="14"/>
      <c r="C67" s="9" t="str">
        <f aca="false">IF(B67="","",IFERROR(INDEX(KOLs!$D$2:$D$300,MATCH(B67,KOLs!$A$2:$A$300,0)),"¿KOL no dado de alta?"))</f>
        <v/>
      </c>
      <c r="D67" s="15"/>
      <c r="E67" s="14"/>
      <c r="F67" s="14"/>
      <c r="G67" s="14"/>
      <c r="H67" s="14"/>
    </row>
    <row r="68" customFormat="false" ht="15" hidden="false" customHeight="false" outlineLevel="0" collapsed="false">
      <c r="A68" s="16"/>
      <c r="B68" s="14"/>
      <c r="C68" s="9" t="str">
        <f aca="false">IF(B68="","",IFERROR(INDEX(KOLs!$D$2:$D$300,MATCH(B68,KOLs!$A$2:$A$300,0)),"¿KOL no dado de alta?"))</f>
        <v/>
      </c>
      <c r="D68" s="15"/>
      <c r="E68" s="14"/>
      <c r="F68" s="14"/>
      <c r="G68" s="14"/>
      <c r="H68" s="14"/>
    </row>
    <row r="69" customFormat="false" ht="15" hidden="false" customHeight="false" outlineLevel="0" collapsed="false">
      <c r="A69" s="16"/>
      <c r="B69" s="14"/>
      <c r="C69" s="9" t="str">
        <f aca="false">IF(B69="","",IFERROR(INDEX(KOLs!$D$2:$D$300,MATCH(B69,KOLs!$A$2:$A$300,0)),"¿KOL no dado de alta?"))</f>
        <v/>
      </c>
      <c r="D69" s="15"/>
      <c r="E69" s="14"/>
      <c r="F69" s="14"/>
      <c r="G69" s="14"/>
      <c r="H69" s="14"/>
    </row>
    <row r="70" customFormat="false" ht="15" hidden="false" customHeight="false" outlineLevel="0" collapsed="false">
      <c r="A70" s="16"/>
      <c r="B70" s="14"/>
      <c r="C70" s="9" t="str">
        <f aca="false">IF(B70="","",IFERROR(INDEX(KOLs!$D$2:$D$300,MATCH(B70,KOLs!$A$2:$A$300,0)),"¿KOL no dado de alta?"))</f>
        <v/>
      </c>
      <c r="D70" s="15"/>
      <c r="E70" s="14"/>
      <c r="F70" s="14"/>
      <c r="G70" s="14"/>
      <c r="H70" s="14"/>
    </row>
    <row r="71" customFormat="false" ht="15" hidden="false" customHeight="false" outlineLevel="0" collapsed="false">
      <c r="A71" s="16"/>
      <c r="B71" s="14"/>
      <c r="C71" s="9" t="str">
        <f aca="false">IF(B71="","",IFERROR(INDEX(KOLs!$D$2:$D$300,MATCH(B71,KOLs!$A$2:$A$300,0)),"¿KOL no dado de alta?"))</f>
        <v/>
      </c>
      <c r="D71" s="15"/>
      <c r="E71" s="14"/>
      <c r="F71" s="14"/>
      <c r="G71" s="14"/>
      <c r="H71" s="14"/>
    </row>
    <row r="72" customFormat="false" ht="15" hidden="false" customHeight="false" outlineLevel="0" collapsed="false">
      <c r="A72" s="16"/>
      <c r="B72" s="14"/>
      <c r="C72" s="9" t="str">
        <f aca="false">IF(B72="","",IFERROR(INDEX(KOLs!$D$2:$D$300,MATCH(B72,KOLs!$A$2:$A$300,0)),"¿KOL no dado de alta?"))</f>
        <v/>
      </c>
      <c r="D72" s="15"/>
      <c r="E72" s="14"/>
      <c r="F72" s="14"/>
      <c r="G72" s="14"/>
      <c r="H72" s="14"/>
    </row>
    <row r="73" customFormat="false" ht="15" hidden="false" customHeight="false" outlineLevel="0" collapsed="false">
      <c r="A73" s="16"/>
      <c r="B73" s="14"/>
      <c r="C73" s="9" t="str">
        <f aca="false">IF(B73="","",IFERROR(INDEX(KOLs!$D$2:$D$300,MATCH(B73,KOLs!$A$2:$A$300,0)),"¿KOL no dado de alta?"))</f>
        <v/>
      </c>
      <c r="D73" s="15"/>
      <c r="E73" s="14"/>
      <c r="F73" s="14"/>
      <c r="G73" s="14"/>
      <c r="H73" s="14"/>
    </row>
    <row r="74" customFormat="false" ht="15" hidden="false" customHeight="false" outlineLevel="0" collapsed="false">
      <c r="A74" s="16"/>
      <c r="B74" s="14"/>
      <c r="C74" s="9" t="str">
        <f aca="false">IF(B74="","",IFERROR(INDEX(KOLs!$D$2:$D$300,MATCH(B74,KOLs!$A$2:$A$300,0)),"¿KOL no dado de alta?"))</f>
        <v/>
      </c>
      <c r="D74" s="15"/>
      <c r="E74" s="14"/>
      <c r="F74" s="14"/>
      <c r="G74" s="14"/>
      <c r="H74" s="14"/>
    </row>
    <row r="75" customFormat="false" ht="15" hidden="false" customHeight="false" outlineLevel="0" collapsed="false">
      <c r="A75" s="16"/>
      <c r="B75" s="14"/>
      <c r="C75" s="9" t="str">
        <f aca="false">IF(B75="","",IFERROR(INDEX(KOLs!$D$2:$D$300,MATCH(B75,KOLs!$A$2:$A$300,0)),"¿KOL no dado de alta?"))</f>
        <v/>
      </c>
      <c r="D75" s="15"/>
      <c r="E75" s="14"/>
      <c r="F75" s="14"/>
      <c r="G75" s="14"/>
      <c r="H75" s="14"/>
    </row>
    <row r="76" customFormat="false" ht="15" hidden="false" customHeight="false" outlineLevel="0" collapsed="false">
      <c r="A76" s="16"/>
      <c r="B76" s="14"/>
      <c r="C76" s="9" t="str">
        <f aca="false">IF(B76="","",IFERROR(INDEX(KOLs!$D$2:$D$300,MATCH(B76,KOLs!$A$2:$A$300,0)),"¿KOL no dado de alta?"))</f>
        <v/>
      </c>
      <c r="D76" s="15"/>
      <c r="E76" s="14"/>
      <c r="F76" s="14"/>
      <c r="G76" s="14"/>
      <c r="H76" s="14"/>
    </row>
    <row r="77" customFormat="false" ht="15" hidden="false" customHeight="false" outlineLevel="0" collapsed="false">
      <c r="A77" s="16"/>
      <c r="B77" s="14"/>
      <c r="C77" s="9" t="str">
        <f aca="false">IF(B77="","",IFERROR(INDEX(KOLs!$D$2:$D$300,MATCH(B77,KOLs!$A$2:$A$300,0)),"¿KOL no dado de alta?"))</f>
        <v/>
      </c>
      <c r="D77" s="15"/>
      <c r="E77" s="14"/>
      <c r="F77" s="14"/>
      <c r="G77" s="14"/>
      <c r="H77" s="14"/>
    </row>
    <row r="78" customFormat="false" ht="15" hidden="false" customHeight="false" outlineLevel="0" collapsed="false">
      <c r="A78" s="16"/>
      <c r="B78" s="14"/>
      <c r="C78" s="9" t="str">
        <f aca="false">IF(B78="","",IFERROR(INDEX(KOLs!$D$2:$D$300,MATCH(B78,KOLs!$A$2:$A$300,0)),"¿KOL no dado de alta?"))</f>
        <v/>
      </c>
      <c r="D78" s="15"/>
      <c r="E78" s="14"/>
      <c r="F78" s="14"/>
      <c r="G78" s="14"/>
      <c r="H78" s="14"/>
    </row>
    <row r="79" customFormat="false" ht="15" hidden="false" customHeight="false" outlineLevel="0" collapsed="false">
      <c r="A79" s="16"/>
      <c r="B79" s="14"/>
      <c r="C79" s="9" t="str">
        <f aca="false">IF(B79="","",IFERROR(INDEX(KOLs!$D$2:$D$300,MATCH(B79,KOLs!$A$2:$A$300,0)),"¿KOL no dado de alta?"))</f>
        <v/>
      </c>
      <c r="D79" s="15"/>
      <c r="E79" s="14"/>
      <c r="F79" s="14"/>
      <c r="G79" s="14"/>
      <c r="H79" s="14"/>
    </row>
    <row r="80" customFormat="false" ht="15" hidden="false" customHeight="false" outlineLevel="0" collapsed="false">
      <c r="A80" s="16"/>
      <c r="B80" s="14"/>
      <c r="C80" s="9" t="str">
        <f aca="false">IF(B80="","",IFERROR(INDEX(KOLs!$D$2:$D$300,MATCH(B80,KOLs!$A$2:$A$300,0)),"¿KOL no dado de alta?"))</f>
        <v/>
      </c>
      <c r="D80" s="15"/>
      <c r="E80" s="14"/>
      <c r="F80" s="14"/>
      <c r="G80" s="14"/>
      <c r="H80" s="14"/>
    </row>
    <row r="81" customFormat="false" ht="15" hidden="false" customHeight="false" outlineLevel="0" collapsed="false">
      <c r="A81" s="16"/>
      <c r="B81" s="14"/>
      <c r="C81" s="9" t="str">
        <f aca="false">IF(B81="","",IFERROR(INDEX(KOLs!$D$2:$D$300,MATCH(B81,KOLs!$A$2:$A$300,0)),"¿KOL no dado de alta?"))</f>
        <v/>
      </c>
      <c r="D81" s="15"/>
      <c r="E81" s="14"/>
      <c r="F81" s="14"/>
      <c r="G81" s="14"/>
      <c r="H81" s="14"/>
    </row>
    <row r="82" customFormat="false" ht="15" hidden="false" customHeight="false" outlineLevel="0" collapsed="false">
      <c r="A82" s="16"/>
      <c r="B82" s="14"/>
      <c r="C82" s="9" t="str">
        <f aca="false">IF(B82="","",IFERROR(INDEX(KOLs!$D$2:$D$300,MATCH(B82,KOLs!$A$2:$A$300,0)),"¿KOL no dado de alta?"))</f>
        <v/>
      </c>
      <c r="D82" s="15"/>
      <c r="E82" s="14"/>
      <c r="F82" s="14"/>
      <c r="G82" s="14"/>
      <c r="H82" s="14"/>
    </row>
    <row r="83" customFormat="false" ht="15" hidden="false" customHeight="false" outlineLevel="0" collapsed="false">
      <c r="A83" s="16"/>
      <c r="B83" s="14"/>
      <c r="C83" s="9" t="str">
        <f aca="false">IF(B83="","",IFERROR(INDEX(KOLs!$D$2:$D$300,MATCH(B83,KOLs!$A$2:$A$300,0)),"¿KOL no dado de alta?"))</f>
        <v/>
      </c>
      <c r="D83" s="15"/>
      <c r="E83" s="14"/>
      <c r="F83" s="14"/>
      <c r="G83" s="14"/>
      <c r="H83" s="14"/>
    </row>
    <row r="84" customFormat="false" ht="15" hidden="false" customHeight="false" outlineLevel="0" collapsed="false">
      <c r="A84" s="16"/>
      <c r="B84" s="14"/>
      <c r="C84" s="9" t="str">
        <f aca="false">IF(B84="","",IFERROR(INDEX(KOLs!$D$2:$D$300,MATCH(B84,KOLs!$A$2:$A$300,0)),"¿KOL no dado de alta?"))</f>
        <v/>
      </c>
      <c r="D84" s="15"/>
      <c r="E84" s="14"/>
      <c r="F84" s="14"/>
      <c r="G84" s="14"/>
      <c r="H84" s="14"/>
    </row>
    <row r="85" customFormat="false" ht="15" hidden="false" customHeight="false" outlineLevel="0" collapsed="false">
      <c r="A85" s="16"/>
      <c r="B85" s="14"/>
      <c r="C85" s="9" t="str">
        <f aca="false">IF(B85="","",IFERROR(INDEX(KOLs!$D$2:$D$300,MATCH(B85,KOLs!$A$2:$A$300,0)),"¿KOL no dado de alta?"))</f>
        <v/>
      </c>
      <c r="D85" s="15"/>
      <c r="E85" s="14"/>
      <c r="F85" s="14"/>
      <c r="G85" s="14"/>
      <c r="H85" s="14"/>
    </row>
    <row r="86" customFormat="false" ht="15" hidden="false" customHeight="false" outlineLevel="0" collapsed="false">
      <c r="A86" s="16"/>
      <c r="B86" s="14"/>
      <c r="C86" s="9" t="str">
        <f aca="false">IF(B86="","",IFERROR(INDEX(KOLs!$D$2:$D$300,MATCH(B86,KOLs!$A$2:$A$300,0)),"¿KOL no dado de alta?"))</f>
        <v/>
      </c>
      <c r="D86" s="15"/>
      <c r="E86" s="14"/>
      <c r="F86" s="14"/>
      <c r="G86" s="14"/>
      <c r="H86" s="14"/>
    </row>
    <row r="87" customFormat="false" ht="15" hidden="false" customHeight="false" outlineLevel="0" collapsed="false">
      <c r="A87" s="16"/>
      <c r="B87" s="14"/>
      <c r="C87" s="9" t="str">
        <f aca="false">IF(B87="","",IFERROR(INDEX(KOLs!$D$2:$D$300,MATCH(B87,KOLs!$A$2:$A$300,0)),"¿KOL no dado de alta?"))</f>
        <v/>
      </c>
      <c r="D87" s="15"/>
      <c r="E87" s="14"/>
      <c r="F87" s="14"/>
      <c r="G87" s="14"/>
      <c r="H87" s="14"/>
    </row>
    <row r="88" customFormat="false" ht="15" hidden="false" customHeight="false" outlineLevel="0" collapsed="false">
      <c r="A88" s="16"/>
      <c r="B88" s="14"/>
      <c r="C88" s="9" t="str">
        <f aca="false">IF(B88="","",IFERROR(INDEX(KOLs!$D$2:$D$300,MATCH(B88,KOLs!$A$2:$A$300,0)),"¿KOL no dado de alta?"))</f>
        <v/>
      </c>
      <c r="D88" s="15"/>
      <c r="E88" s="14"/>
      <c r="F88" s="14"/>
      <c r="G88" s="14"/>
      <c r="H88" s="14"/>
    </row>
    <row r="89" customFormat="false" ht="15" hidden="false" customHeight="false" outlineLevel="0" collapsed="false">
      <c r="A89" s="16"/>
      <c r="B89" s="14"/>
      <c r="C89" s="9" t="str">
        <f aca="false">IF(B89="","",IFERROR(INDEX(KOLs!$D$2:$D$300,MATCH(B89,KOLs!$A$2:$A$300,0)),"¿KOL no dado de alta?"))</f>
        <v/>
      </c>
      <c r="D89" s="15"/>
      <c r="E89" s="14"/>
      <c r="F89" s="14"/>
      <c r="G89" s="14"/>
      <c r="H89" s="14"/>
    </row>
    <row r="90" customFormat="false" ht="15" hidden="false" customHeight="false" outlineLevel="0" collapsed="false">
      <c r="A90" s="16"/>
      <c r="B90" s="14"/>
      <c r="C90" s="9" t="str">
        <f aca="false">IF(B90="","",IFERROR(INDEX(KOLs!$D$2:$D$300,MATCH(B90,KOLs!$A$2:$A$300,0)),"¿KOL no dado de alta?"))</f>
        <v/>
      </c>
      <c r="D90" s="15"/>
      <c r="E90" s="14"/>
      <c r="F90" s="14"/>
      <c r="G90" s="14"/>
      <c r="H90" s="14"/>
    </row>
    <row r="91" customFormat="false" ht="15" hidden="false" customHeight="false" outlineLevel="0" collapsed="false">
      <c r="A91" s="16"/>
      <c r="B91" s="14"/>
      <c r="C91" s="9" t="str">
        <f aca="false">IF(B91="","",IFERROR(INDEX(KOLs!$D$2:$D$300,MATCH(B91,KOLs!$A$2:$A$300,0)),"¿KOL no dado de alta?"))</f>
        <v/>
      </c>
      <c r="D91" s="15"/>
      <c r="E91" s="14"/>
      <c r="F91" s="14"/>
      <c r="G91" s="14"/>
      <c r="H91" s="14"/>
    </row>
    <row r="92" customFormat="false" ht="15" hidden="false" customHeight="false" outlineLevel="0" collapsed="false">
      <c r="A92" s="16"/>
      <c r="B92" s="14"/>
      <c r="C92" s="9" t="str">
        <f aca="false">IF(B92="","",IFERROR(INDEX(KOLs!$D$2:$D$300,MATCH(B92,KOLs!$A$2:$A$300,0)),"¿KOL no dado de alta?"))</f>
        <v/>
      </c>
      <c r="D92" s="15"/>
      <c r="E92" s="14"/>
      <c r="F92" s="14"/>
      <c r="G92" s="14"/>
      <c r="H92" s="14"/>
    </row>
    <row r="93" customFormat="false" ht="15" hidden="false" customHeight="false" outlineLevel="0" collapsed="false">
      <c r="A93" s="16"/>
      <c r="B93" s="14"/>
      <c r="C93" s="9" t="str">
        <f aca="false">IF(B93="","",IFERROR(INDEX(KOLs!$D$2:$D$300,MATCH(B93,KOLs!$A$2:$A$300,0)),"¿KOL no dado de alta?"))</f>
        <v/>
      </c>
      <c r="D93" s="15"/>
      <c r="E93" s="14"/>
      <c r="F93" s="14"/>
      <c r="G93" s="14"/>
      <c r="H93" s="14"/>
    </row>
    <row r="94" customFormat="false" ht="15" hidden="false" customHeight="false" outlineLevel="0" collapsed="false">
      <c r="A94" s="16"/>
      <c r="B94" s="14"/>
      <c r="C94" s="9" t="str">
        <f aca="false">IF(B94="","",IFERROR(INDEX(KOLs!$D$2:$D$300,MATCH(B94,KOLs!$A$2:$A$300,0)),"¿KOL no dado de alta?"))</f>
        <v/>
      </c>
      <c r="D94" s="15"/>
      <c r="E94" s="14"/>
      <c r="F94" s="14"/>
      <c r="G94" s="14"/>
      <c r="H94" s="14"/>
    </row>
    <row r="95" customFormat="false" ht="15" hidden="false" customHeight="false" outlineLevel="0" collapsed="false">
      <c r="A95" s="16"/>
      <c r="B95" s="14"/>
      <c r="C95" s="9" t="str">
        <f aca="false">IF(B95="","",IFERROR(INDEX(KOLs!$D$2:$D$300,MATCH(B95,KOLs!$A$2:$A$300,0)),"¿KOL no dado de alta?"))</f>
        <v/>
      </c>
      <c r="D95" s="15"/>
      <c r="E95" s="14"/>
      <c r="F95" s="14"/>
      <c r="G95" s="14"/>
      <c r="H95" s="14"/>
    </row>
    <row r="96" customFormat="false" ht="15" hidden="false" customHeight="false" outlineLevel="0" collapsed="false">
      <c r="A96" s="16"/>
      <c r="B96" s="14"/>
      <c r="C96" s="9" t="str">
        <f aca="false">IF(B96="","",IFERROR(INDEX(KOLs!$D$2:$D$300,MATCH(B96,KOLs!$A$2:$A$300,0)),"¿KOL no dado de alta?"))</f>
        <v/>
      </c>
      <c r="D96" s="15"/>
      <c r="E96" s="14"/>
      <c r="F96" s="14"/>
      <c r="G96" s="14"/>
      <c r="H96" s="14"/>
    </row>
    <row r="97" customFormat="false" ht="15" hidden="false" customHeight="false" outlineLevel="0" collapsed="false">
      <c r="A97" s="16"/>
      <c r="B97" s="14"/>
      <c r="C97" s="9" t="str">
        <f aca="false">IF(B97="","",IFERROR(INDEX(KOLs!$D$2:$D$300,MATCH(B97,KOLs!$A$2:$A$300,0)),"¿KOL no dado de alta?"))</f>
        <v/>
      </c>
      <c r="D97" s="15"/>
      <c r="E97" s="14"/>
      <c r="F97" s="14"/>
      <c r="G97" s="14"/>
      <c r="H97" s="14"/>
    </row>
    <row r="98" customFormat="false" ht="15" hidden="false" customHeight="false" outlineLevel="0" collapsed="false">
      <c r="A98" s="16"/>
      <c r="B98" s="14"/>
      <c r="C98" s="9" t="str">
        <f aca="false">IF(B98="","",IFERROR(INDEX(KOLs!$D$2:$D$300,MATCH(B98,KOLs!$A$2:$A$300,0)),"¿KOL no dado de alta?"))</f>
        <v/>
      </c>
      <c r="D98" s="15"/>
      <c r="E98" s="14"/>
      <c r="F98" s="14"/>
      <c r="G98" s="14"/>
      <c r="H98" s="14"/>
    </row>
    <row r="99" customFormat="false" ht="15" hidden="false" customHeight="false" outlineLevel="0" collapsed="false">
      <c r="A99" s="16"/>
      <c r="B99" s="14"/>
      <c r="C99" s="9" t="str">
        <f aca="false">IF(B99="","",IFERROR(INDEX(KOLs!$D$2:$D$300,MATCH(B99,KOLs!$A$2:$A$300,0)),"¿KOL no dado de alta?"))</f>
        <v/>
      </c>
      <c r="D99" s="15"/>
      <c r="E99" s="14"/>
      <c r="F99" s="14"/>
      <c r="G99" s="14"/>
      <c r="H99" s="14"/>
    </row>
    <row r="100" customFormat="false" ht="15" hidden="false" customHeight="false" outlineLevel="0" collapsed="false">
      <c r="A100" s="16"/>
      <c r="B100" s="14"/>
      <c r="C100" s="9" t="str">
        <f aca="false">IF(B100="","",IFERROR(INDEX(KOLs!$D$2:$D$300,MATCH(B100,KOLs!$A$2:$A$300,0)),"¿KOL no dado de alta?"))</f>
        <v/>
      </c>
      <c r="D100" s="15"/>
      <c r="E100" s="14"/>
      <c r="F100" s="14"/>
      <c r="G100" s="14"/>
      <c r="H100" s="14"/>
    </row>
    <row r="101" customFormat="false" ht="15" hidden="false" customHeight="false" outlineLevel="0" collapsed="false">
      <c r="A101" s="16"/>
      <c r="B101" s="14"/>
      <c r="C101" s="9" t="str">
        <f aca="false">IF(B101="","",IFERROR(INDEX(KOLs!$D$2:$D$300,MATCH(B101,KOLs!$A$2:$A$300,0)),"¿KOL no dado de alta?"))</f>
        <v/>
      </c>
      <c r="D101" s="15"/>
      <c r="E101" s="14"/>
      <c r="F101" s="14"/>
      <c r="G101" s="14"/>
      <c r="H101" s="14"/>
    </row>
    <row r="102" customFormat="false" ht="15" hidden="false" customHeight="false" outlineLevel="0" collapsed="false">
      <c r="A102" s="16"/>
      <c r="B102" s="14"/>
      <c r="C102" s="9" t="str">
        <f aca="false">IF(B102="","",IFERROR(INDEX(KOLs!$D$2:$D$300,MATCH(B102,KOLs!$A$2:$A$300,0)),"¿KOL no dado de alta?"))</f>
        <v/>
      </c>
      <c r="D102" s="15"/>
      <c r="E102" s="14"/>
      <c r="F102" s="14"/>
      <c r="G102" s="14"/>
      <c r="H102" s="14"/>
    </row>
    <row r="103" customFormat="false" ht="15" hidden="false" customHeight="false" outlineLevel="0" collapsed="false">
      <c r="A103" s="16"/>
      <c r="B103" s="14"/>
      <c r="C103" s="9" t="str">
        <f aca="false">IF(B103="","",IFERROR(INDEX(KOLs!$D$2:$D$300,MATCH(B103,KOLs!$A$2:$A$300,0)),"¿KOL no dado de alta?"))</f>
        <v/>
      </c>
      <c r="D103" s="15"/>
      <c r="E103" s="14"/>
      <c r="F103" s="14"/>
      <c r="G103" s="14"/>
      <c r="H103" s="14"/>
    </row>
    <row r="104" customFormat="false" ht="15" hidden="false" customHeight="false" outlineLevel="0" collapsed="false">
      <c r="A104" s="16"/>
      <c r="B104" s="14"/>
      <c r="C104" s="9" t="str">
        <f aca="false">IF(B104="","",IFERROR(INDEX(KOLs!$D$2:$D$300,MATCH(B104,KOLs!$A$2:$A$300,0)),"¿KOL no dado de alta?"))</f>
        <v/>
      </c>
      <c r="D104" s="15"/>
      <c r="E104" s="14"/>
      <c r="F104" s="14"/>
      <c r="G104" s="14"/>
      <c r="H104" s="14"/>
    </row>
    <row r="105" customFormat="false" ht="15" hidden="false" customHeight="false" outlineLevel="0" collapsed="false">
      <c r="A105" s="16"/>
      <c r="B105" s="14"/>
      <c r="C105" s="9" t="str">
        <f aca="false">IF(B105="","",IFERROR(INDEX(KOLs!$D$2:$D$300,MATCH(B105,KOLs!$A$2:$A$300,0)),"¿KOL no dado de alta?"))</f>
        <v/>
      </c>
      <c r="D105" s="15"/>
      <c r="E105" s="14"/>
      <c r="F105" s="14"/>
      <c r="G105" s="14"/>
      <c r="H105" s="14"/>
    </row>
    <row r="106" customFormat="false" ht="15" hidden="false" customHeight="false" outlineLevel="0" collapsed="false">
      <c r="A106" s="16"/>
      <c r="B106" s="14"/>
      <c r="C106" s="9" t="str">
        <f aca="false">IF(B106="","",IFERROR(INDEX(KOLs!$D$2:$D$300,MATCH(B106,KOLs!$A$2:$A$300,0)),"¿KOL no dado de alta?"))</f>
        <v/>
      </c>
      <c r="D106" s="15"/>
      <c r="E106" s="14"/>
      <c r="F106" s="14"/>
      <c r="G106" s="14"/>
      <c r="H106" s="14"/>
    </row>
    <row r="107" customFormat="false" ht="15" hidden="false" customHeight="false" outlineLevel="0" collapsed="false">
      <c r="A107" s="16"/>
      <c r="B107" s="14"/>
      <c r="C107" s="9" t="str">
        <f aca="false">IF(B107="","",IFERROR(INDEX(KOLs!$D$2:$D$300,MATCH(B107,KOLs!$A$2:$A$300,0)),"¿KOL no dado de alta?"))</f>
        <v/>
      </c>
      <c r="D107" s="15"/>
      <c r="E107" s="14"/>
      <c r="F107" s="14"/>
      <c r="G107" s="14"/>
      <c r="H107" s="14"/>
    </row>
    <row r="108" customFormat="false" ht="15" hidden="false" customHeight="false" outlineLevel="0" collapsed="false">
      <c r="A108" s="16"/>
      <c r="B108" s="14"/>
      <c r="C108" s="9" t="str">
        <f aca="false">IF(B108="","",IFERROR(INDEX(KOLs!$D$2:$D$300,MATCH(B108,KOLs!$A$2:$A$300,0)),"¿KOL no dado de alta?"))</f>
        <v/>
      </c>
      <c r="D108" s="15"/>
      <c r="E108" s="14"/>
      <c r="F108" s="14"/>
      <c r="G108" s="14"/>
      <c r="H108" s="14"/>
    </row>
    <row r="109" customFormat="false" ht="15" hidden="false" customHeight="false" outlineLevel="0" collapsed="false">
      <c r="A109" s="16"/>
      <c r="B109" s="14"/>
      <c r="C109" s="9" t="str">
        <f aca="false">IF(B109="","",IFERROR(INDEX(KOLs!$D$2:$D$300,MATCH(B109,KOLs!$A$2:$A$300,0)),"¿KOL no dado de alta?"))</f>
        <v/>
      </c>
      <c r="D109" s="15"/>
      <c r="E109" s="14"/>
      <c r="F109" s="14"/>
      <c r="G109" s="14"/>
      <c r="H109" s="14"/>
    </row>
    <row r="110" customFormat="false" ht="15" hidden="false" customHeight="false" outlineLevel="0" collapsed="false">
      <c r="A110" s="16"/>
      <c r="B110" s="14"/>
      <c r="C110" s="9" t="str">
        <f aca="false">IF(B110="","",IFERROR(INDEX(KOLs!$D$2:$D$300,MATCH(B110,KOLs!$A$2:$A$300,0)),"¿KOL no dado de alta?"))</f>
        <v/>
      </c>
      <c r="D110" s="15"/>
      <c r="E110" s="14"/>
      <c r="F110" s="14"/>
      <c r="G110" s="14"/>
      <c r="H110" s="14"/>
    </row>
    <row r="111" customFormat="false" ht="15" hidden="false" customHeight="false" outlineLevel="0" collapsed="false">
      <c r="A111" s="16"/>
      <c r="B111" s="14"/>
      <c r="C111" s="9" t="str">
        <f aca="false">IF(B111="","",IFERROR(INDEX(KOLs!$D$2:$D$300,MATCH(B111,KOLs!$A$2:$A$300,0)),"¿KOL no dado de alta?"))</f>
        <v/>
      </c>
      <c r="D111" s="15"/>
      <c r="E111" s="14"/>
      <c r="F111" s="14"/>
      <c r="G111" s="14"/>
      <c r="H111" s="14"/>
    </row>
    <row r="112" customFormat="false" ht="15" hidden="false" customHeight="false" outlineLevel="0" collapsed="false">
      <c r="A112" s="16"/>
      <c r="B112" s="14"/>
      <c r="C112" s="9" t="str">
        <f aca="false">IF(B112="","",IFERROR(INDEX(KOLs!$D$2:$D$300,MATCH(B112,KOLs!$A$2:$A$300,0)),"¿KOL no dado de alta?"))</f>
        <v/>
      </c>
      <c r="D112" s="15"/>
      <c r="E112" s="14"/>
      <c r="F112" s="14"/>
      <c r="G112" s="14"/>
      <c r="H112" s="14"/>
    </row>
    <row r="113" customFormat="false" ht="15" hidden="false" customHeight="false" outlineLevel="0" collapsed="false">
      <c r="A113" s="16"/>
      <c r="B113" s="14"/>
      <c r="C113" s="9" t="str">
        <f aca="false">IF(B113="","",IFERROR(INDEX(KOLs!$D$2:$D$300,MATCH(B113,KOLs!$A$2:$A$300,0)),"¿KOL no dado de alta?"))</f>
        <v/>
      </c>
      <c r="D113" s="15"/>
      <c r="E113" s="14"/>
      <c r="F113" s="14"/>
      <c r="G113" s="14"/>
      <c r="H113" s="14"/>
    </row>
    <row r="114" customFormat="false" ht="15" hidden="false" customHeight="false" outlineLevel="0" collapsed="false">
      <c r="A114" s="16"/>
      <c r="B114" s="14"/>
      <c r="C114" s="9" t="str">
        <f aca="false">IF(B114="","",IFERROR(INDEX(KOLs!$D$2:$D$300,MATCH(B114,KOLs!$A$2:$A$300,0)),"¿KOL no dado de alta?"))</f>
        <v/>
      </c>
      <c r="D114" s="15"/>
      <c r="E114" s="14"/>
      <c r="F114" s="14"/>
      <c r="G114" s="14"/>
      <c r="H114" s="14"/>
    </row>
    <row r="115" customFormat="false" ht="15" hidden="false" customHeight="false" outlineLevel="0" collapsed="false">
      <c r="A115" s="16"/>
      <c r="B115" s="14"/>
      <c r="C115" s="9" t="str">
        <f aca="false">IF(B115="","",IFERROR(INDEX(KOLs!$D$2:$D$300,MATCH(B115,KOLs!$A$2:$A$300,0)),"¿KOL no dado de alta?"))</f>
        <v/>
      </c>
      <c r="D115" s="15"/>
      <c r="E115" s="14"/>
      <c r="F115" s="14"/>
      <c r="G115" s="14"/>
      <c r="H115" s="14"/>
    </row>
    <row r="116" customFormat="false" ht="15" hidden="false" customHeight="false" outlineLevel="0" collapsed="false">
      <c r="A116" s="16"/>
      <c r="B116" s="14"/>
      <c r="C116" s="9" t="str">
        <f aca="false">IF(B116="","",IFERROR(INDEX(KOLs!$D$2:$D$300,MATCH(B116,KOLs!$A$2:$A$300,0)),"¿KOL no dado de alta?"))</f>
        <v/>
      </c>
      <c r="D116" s="15"/>
      <c r="E116" s="14"/>
      <c r="F116" s="14"/>
      <c r="G116" s="14"/>
      <c r="H116" s="14"/>
    </row>
    <row r="117" customFormat="false" ht="15" hidden="false" customHeight="false" outlineLevel="0" collapsed="false">
      <c r="A117" s="16"/>
      <c r="B117" s="14"/>
      <c r="C117" s="9" t="str">
        <f aca="false">IF(B117="","",IFERROR(INDEX(KOLs!$D$2:$D$300,MATCH(B117,KOLs!$A$2:$A$300,0)),"¿KOL no dado de alta?"))</f>
        <v/>
      </c>
      <c r="D117" s="15"/>
      <c r="E117" s="14"/>
      <c r="F117" s="14"/>
      <c r="G117" s="14"/>
      <c r="H117" s="14"/>
    </row>
    <row r="118" customFormat="false" ht="15" hidden="false" customHeight="false" outlineLevel="0" collapsed="false">
      <c r="A118" s="16"/>
      <c r="B118" s="14"/>
      <c r="C118" s="9" t="str">
        <f aca="false">IF(B118="","",IFERROR(INDEX(KOLs!$D$2:$D$300,MATCH(B118,KOLs!$A$2:$A$300,0)),"¿KOL no dado de alta?"))</f>
        <v/>
      </c>
      <c r="D118" s="15"/>
      <c r="E118" s="14"/>
      <c r="F118" s="14"/>
      <c r="G118" s="14"/>
      <c r="H118" s="14"/>
    </row>
    <row r="119" customFormat="false" ht="15" hidden="false" customHeight="false" outlineLevel="0" collapsed="false">
      <c r="A119" s="16"/>
      <c r="B119" s="14"/>
      <c r="C119" s="9" t="str">
        <f aca="false">IF(B119="","",IFERROR(INDEX(KOLs!$D$2:$D$300,MATCH(B119,KOLs!$A$2:$A$300,0)),"¿KOL no dado de alta?"))</f>
        <v/>
      </c>
      <c r="D119" s="15"/>
      <c r="E119" s="14"/>
      <c r="F119" s="14"/>
      <c r="G119" s="14"/>
      <c r="H119" s="14"/>
    </row>
    <row r="120" customFormat="false" ht="15" hidden="false" customHeight="false" outlineLevel="0" collapsed="false">
      <c r="A120" s="16"/>
      <c r="B120" s="14"/>
      <c r="C120" s="9" t="str">
        <f aca="false">IF(B120="","",IFERROR(INDEX(KOLs!$D$2:$D$300,MATCH(B120,KOLs!$A$2:$A$300,0)),"¿KOL no dado de alta?"))</f>
        <v/>
      </c>
      <c r="D120" s="15"/>
      <c r="E120" s="14"/>
      <c r="F120" s="14"/>
      <c r="G120" s="14"/>
      <c r="H120" s="14"/>
    </row>
    <row r="121" customFormat="false" ht="15" hidden="false" customHeight="false" outlineLevel="0" collapsed="false">
      <c r="A121" s="16"/>
      <c r="B121" s="14"/>
      <c r="C121" s="9" t="str">
        <f aca="false">IF(B121="","",IFERROR(INDEX(KOLs!$D$2:$D$300,MATCH(B121,KOLs!$A$2:$A$300,0)),"¿KOL no dado de alta?"))</f>
        <v/>
      </c>
      <c r="D121" s="15"/>
      <c r="E121" s="14"/>
      <c r="F121" s="14"/>
      <c r="G121" s="14"/>
      <c r="H121" s="14"/>
    </row>
    <row r="122" customFormat="false" ht="15" hidden="false" customHeight="false" outlineLevel="0" collapsed="false">
      <c r="A122" s="16"/>
      <c r="B122" s="14"/>
      <c r="C122" s="9" t="str">
        <f aca="false">IF(B122="","",IFERROR(INDEX(KOLs!$D$2:$D$300,MATCH(B122,KOLs!$A$2:$A$300,0)),"¿KOL no dado de alta?"))</f>
        <v/>
      </c>
      <c r="D122" s="15"/>
      <c r="E122" s="14"/>
      <c r="F122" s="14"/>
      <c r="G122" s="14"/>
      <c r="H122" s="14"/>
    </row>
    <row r="123" customFormat="false" ht="15" hidden="false" customHeight="false" outlineLevel="0" collapsed="false">
      <c r="A123" s="16"/>
      <c r="B123" s="14"/>
      <c r="C123" s="9" t="str">
        <f aca="false">IF(B123="","",IFERROR(INDEX(KOLs!$D$2:$D$300,MATCH(B123,KOLs!$A$2:$A$300,0)),"¿KOL no dado de alta?"))</f>
        <v/>
      </c>
      <c r="D123" s="15"/>
      <c r="E123" s="14"/>
      <c r="F123" s="14"/>
      <c r="G123" s="14"/>
      <c r="H123" s="14"/>
    </row>
    <row r="124" customFormat="false" ht="15" hidden="false" customHeight="false" outlineLevel="0" collapsed="false">
      <c r="A124" s="16"/>
      <c r="B124" s="14"/>
      <c r="C124" s="9" t="str">
        <f aca="false">IF(B124="","",IFERROR(INDEX(KOLs!$D$2:$D$300,MATCH(B124,KOLs!$A$2:$A$300,0)),"¿KOL no dado de alta?"))</f>
        <v/>
      </c>
      <c r="D124" s="15"/>
      <c r="E124" s="14"/>
      <c r="F124" s="14"/>
      <c r="G124" s="14"/>
      <c r="H124" s="14"/>
    </row>
    <row r="125" customFormat="false" ht="15" hidden="false" customHeight="false" outlineLevel="0" collapsed="false">
      <c r="A125" s="16"/>
      <c r="B125" s="14"/>
      <c r="C125" s="9" t="str">
        <f aca="false">IF(B125="","",IFERROR(INDEX(KOLs!$D$2:$D$300,MATCH(B125,KOLs!$A$2:$A$300,0)),"¿KOL no dado de alta?"))</f>
        <v/>
      </c>
      <c r="D125" s="15"/>
      <c r="E125" s="14"/>
      <c r="F125" s="14"/>
      <c r="G125" s="14"/>
      <c r="H125" s="14"/>
    </row>
    <row r="126" customFormat="false" ht="15" hidden="false" customHeight="false" outlineLevel="0" collapsed="false">
      <c r="A126" s="16"/>
      <c r="B126" s="14"/>
      <c r="C126" s="9" t="str">
        <f aca="false">IF(B126="","",IFERROR(INDEX(KOLs!$D$2:$D$300,MATCH(B126,KOLs!$A$2:$A$300,0)),"¿KOL no dado de alta?"))</f>
        <v/>
      </c>
      <c r="D126" s="15"/>
      <c r="E126" s="14"/>
      <c r="F126" s="14"/>
      <c r="G126" s="14"/>
      <c r="H126" s="14"/>
    </row>
    <row r="127" customFormat="false" ht="15" hidden="false" customHeight="false" outlineLevel="0" collapsed="false">
      <c r="A127" s="16"/>
      <c r="B127" s="14"/>
      <c r="C127" s="9" t="str">
        <f aca="false">IF(B127="","",IFERROR(INDEX(KOLs!$D$2:$D$300,MATCH(B127,KOLs!$A$2:$A$300,0)),"¿KOL no dado de alta?"))</f>
        <v/>
      </c>
      <c r="D127" s="15"/>
      <c r="E127" s="14"/>
      <c r="F127" s="14"/>
      <c r="G127" s="14"/>
      <c r="H127" s="14"/>
    </row>
    <row r="128" customFormat="false" ht="15" hidden="false" customHeight="false" outlineLevel="0" collapsed="false">
      <c r="A128" s="16"/>
      <c r="B128" s="14"/>
      <c r="C128" s="9" t="str">
        <f aca="false">IF(B128="","",IFERROR(INDEX(KOLs!$D$2:$D$300,MATCH(B128,KOLs!$A$2:$A$300,0)),"¿KOL no dado de alta?"))</f>
        <v/>
      </c>
      <c r="D128" s="15"/>
      <c r="E128" s="14"/>
      <c r="F128" s="14"/>
      <c r="G128" s="14"/>
      <c r="H128" s="14"/>
    </row>
    <row r="129" customFormat="false" ht="15" hidden="false" customHeight="false" outlineLevel="0" collapsed="false">
      <c r="A129" s="16"/>
      <c r="B129" s="14"/>
      <c r="C129" s="9" t="str">
        <f aca="false">IF(B129="","",IFERROR(INDEX(KOLs!$D$2:$D$300,MATCH(B129,KOLs!$A$2:$A$300,0)),"¿KOL no dado de alta?"))</f>
        <v/>
      </c>
      <c r="D129" s="15"/>
      <c r="E129" s="14"/>
      <c r="F129" s="14"/>
      <c r="G129" s="14"/>
      <c r="H129" s="14"/>
    </row>
    <row r="130" customFormat="false" ht="15" hidden="false" customHeight="false" outlineLevel="0" collapsed="false">
      <c r="A130" s="16"/>
      <c r="B130" s="14"/>
      <c r="C130" s="9" t="str">
        <f aca="false">IF(B130="","",IFERROR(INDEX(KOLs!$D$2:$D$300,MATCH(B130,KOLs!$A$2:$A$300,0)),"¿KOL no dado de alta?"))</f>
        <v/>
      </c>
      <c r="D130" s="15"/>
      <c r="E130" s="14"/>
      <c r="F130" s="14"/>
      <c r="G130" s="14"/>
      <c r="H130" s="14"/>
    </row>
    <row r="131" customFormat="false" ht="15" hidden="false" customHeight="false" outlineLevel="0" collapsed="false">
      <c r="A131" s="16"/>
      <c r="B131" s="14"/>
      <c r="C131" s="9" t="str">
        <f aca="false">IF(B131="","",IFERROR(INDEX(KOLs!$D$2:$D$300,MATCH(B131,KOLs!$A$2:$A$300,0)),"¿KOL no dado de alta?"))</f>
        <v/>
      </c>
      <c r="D131" s="15"/>
      <c r="E131" s="14"/>
      <c r="F131" s="14"/>
      <c r="G131" s="14"/>
      <c r="H131" s="14"/>
    </row>
    <row r="132" customFormat="false" ht="15" hidden="false" customHeight="false" outlineLevel="0" collapsed="false">
      <c r="A132" s="16"/>
      <c r="B132" s="14"/>
      <c r="C132" s="9" t="str">
        <f aca="false">IF(B132="","",IFERROR(INDEX(KOLs!$D$2:$D$300,MATCH(B132,KOLs!$A$2:$A$300,0)),"¿KOL no dado de alta?"))</f>
        <v/>
      </c>
      <c r="D132" s="15"/>
      <c r="E132" s="14"/>
      <c r="F132" s="14"/>
      <c r="G132" s="14"/>
      <c r="H132" s="14"/>
    </row>
    <row r="133" customFormat="false" ht="15" hidden="false" customHeight="false" outlineLevel="0" collapsed="false">
      <c r="A133" s="16"/>
      <c r="B133" s="14"/>
      <c r="C133" s="9" t="str">
        <f aca="false">IF(B133="","",IFERROR(INDEX(KOLs!$D$2:$D$300,MATCH(B133,KOLs!$A$2:$A$300,0)),"¿KOL no dado de alta?"))</f>
        <v/>
      </c>
      <c r="D133" s="15"/>
      <c r="E133" s="14"/>
      <c r="F133" s="14"/>
      <c r="G133" s="14"/>
      <c r="H133" s="14"/>
    </row>
    <row r="134" customFormat="false" ht="15" hidden="false" customHeight="false" outlineLevel="0" collapsed="false">
      <c r="A134" s="16"/>
      <c r="B134" s="14"/>
      <c r="C134" s="9" t="str">
        <f aca="false">IF(B134="","",IFERROR(INDEX(KOLs!$D$2:$D$300,MATCH(B134,KOLs!$A$2:$A$300,0)),"¿KOL no dado de alta?"))</f>
        <v/>
      </c>
      <c r="D134" s="15"/>
      <c r="E134" s="14"/>
      <c r="F134" s="14"/>
      <c r="G134" s="14"/>
      <c r="H134" s="14"/>
    </row>
    <row r="135" customFormat="false" ht="15" hidden="false" customHeight="false" outlineLevel="0" collapsed="false">
      <c r="A135" s="16"/>
      <c r="B135" s="14"/>
      <c r="C135" s="9" t="str">
        <f aca="false">IF(B135="","",IFERROR(INDEX(KOLs!$D$2:$D$300,MATCH(B135,KOLs!$A$2:$A$300,0)),"¿KOL no dado de alta?"))</f>
        <v/>
      </c>
      <c r="D135" s="15"/>
      <c r="E135" s="14"/>
      <c r="F135" s="14"/>
      <c r="G135" s="14"/>
      <c r="H135" s="14"/>
    </row>
    <row r="136" customFormat="false" ht="15" hidden="false" customHeight="false" outlineLevel="0" collapsed="false">
      <c r="A136" s="16"/>
      <c r="B136" s="14"/>
      <c r="C136" s="9" t="str">
        <f aca="false">IF(B136="","",IFERROR(INDEX(KOLs!$D$2:$D$300,MATCH(B136,KOLs!$A$2:$A$300,0)),"¿KOL no dado de alta?"))</f>
        <v/>
      </c>
      <c r="D136" s="15"/>
      <c r="E136" s="14"/>
      <c r="F136" s="14"/>
      <c r="G136" s="14"/>
      <c r="H136" s="14"/>
    </row>
    <row r="137" customFormat="false" ht="15" hidden="false" customHeight="false" outlineLevel="0" collapsed="false">
      <c r="A137" s="16"/>
      <c r="B137" s="14"/>
      <c r="C137" s="9" t="str">
        <f aca="false">IF(B137="","",IFERROR(INDEX(KOLs!$D$2:$D$300,MATCH(B137,KOLs!$A$2:$A$300,0)),"¿KOL no dado de alta?"))</f>
        <v/>
      </c>
      <c r="D137" s="15"/>
      <c r="E137" s="14"/>
      <c r="F137" s="14"/>
      <c r="G137" s="14"/>
      <c r="H137" s="14"/>
    </row>
    <row r="138" customFormat="false" ht="15" hidden="false" customHeight="false" outlineLevel="0" collapsed="false">
      <c r="A138" s="16"/>
      <c r="B138" s="14"/>
      <c r="C138" s="9" t="str">
        <f aca="false">IF(B138="","",IFERROR(INDEX(KOLs!$D$2:$D$300,MATCH(B138,KOLs!$A$2:$A$300,0)),"¿KOL no dado de alta?"))</f>
        <v/>
      </c>
      <c r="D138" s="15"/>
      <c r="E138" s="14"/>
      <c r="F138" s="14"/>
      <c r="G138" s="14"/>
      <c r="H138" s="14"/>
    </row>
    <row r="139" customFormat="false" ht="15" hidden="false" customHeight="false" outlineLevel="0" collapsed="false">
      <c r="A139" s="16"/>
      <c r="B139" s="14"/>
      <c r="C139" s="9" t="str">
        <f aca="false">IF(B139="","",IFERROR(INDEX(KOLs!$D$2:$D$300,MATCH(B139,KOLs!$A$2:$A$300,0)),"¿KOL no dado de alta?"))</f>
        <v/>
      </c>
      <c r="D139" s="15"/>
      <c r="E139" s="14"/>
      <c r="F139" s="14"/>
      <c r="G139" s="14"/>
      <c r="H139" s="14"/>
    </row>
    <row r="140" customFormat="false" ht="15" hidden="false" customHeight="false" outlineLevel="0" collapsed="false">
      <c r="A140" s="16"/>
      <c r="B140" s="14"/>
      <c r="C140" s="9" t="str">
        <f aca="false">IF(B140="","",IFERROR(INDEX(KOLs!$D$2:$D$300,MATCH(B140,KOLs!$A$2:$A$300,0)),"¿KOL no dado de alta?"))</f>
        <v/>
      </c>
      <c r="D140" s="15"/>
      <c r="E140" s="14"/>
      <c r="F140" s="14"/>
      <c r="G140" s="14"/>
      <c r="H140" s="14"/>
    </row>
    <row r="141" customFormat="false" ht="15" hidden="false" customHeight="false" outlineLevel="0" collapsed="false">
      <c r="A141" s="16"/>
      <c r="B141" s="14"/>
      <c r="C141" s="9" t="str">
        <f aca="false">IF(B141="","",IFERROR(INDEX(KOLs!$D$2:$D$300,MATCH(B141,KOLs!$A$2:$A$300,0)),"¿KOL no dado de alta?"))</f>
        <v/>
      </c>
      <c r="D141" s="15"/>
      <c r="E141" s="14"/>
      <c r="F141" s="14"/>
      <c r="G141" s="14"/>
      <c r="H141" s="14"/>
    </row>
    <row r="142" customFormat="false" ht="15" hidden="false" customHeight="false" outlineLevel="0" collapsed="false">
      <c r="A142" s="16"/>
      <c r="B142" s="14"/>
      <c r="C142" s="9" t="str">
        <f aca="false">IF(B142="","",IFERROR(INDEX(KOLs!$D$2:$D$300,MATCH(B142,KOLs!$A$2:$A$300,0)),"¿KOL no dado de alta?"))</f>
        <v/>
      </c>
      <c r="D142" s="15"/>
      <c r="E142" s="14"/>
      <c r="F142" s="14"/>
      <c r="G142" s="14"/>
      <c r="H142" s="14"/>
    </row>
    <row r="143" customFormat="false" ht="15" hidden="false" customHeight="false" outlineLevel="0" collapsed="false">
      <c r="A143" s="16"/>
      <c r="B143" s="14"/>
      <c r="C143" s="9" t="str">
        <f aca="false">IF(B143="","",IFERROR(INDEX(KOLs!$D$2:$D$300,MATCH(B143,KOLs!$A$2:$A$300,0)),"¿KOL no dado de alta?"))</f>
        <v/>
      </c>
      <c r="D143" s="15"/>
      <c r="E143" s="14"/>
      <c r="F143" s="14"/>
      <c r="G143" s="14"/>
      <c r="H143" s="14"/>
    </row>
    <row r="144" customFormat="false" ht="15" hidden="false" customHeight="false" outlineLevel="0" collapsed="false">
      <c r="A144" s="16"/>
      <c r="B144" s="14"/>
      <c r="C144" s="9" t="str">
        <f aca="false">IF(B144="","",IFERROR(INDEX(KOLs!$D$2:$D$300,MATCH(B144,KOLs!$A$2:$A$300,0)),"¿KOL no dado de alta?"))</f>
        <v/>
      </c>
      <c r="D144" s="15"/>
      <c r="E144" s="14"/>
      <c r="F144" s="14"/>
      <c r="G144" s="14"/>
      <c r="H144" s="14"/>
    </row>
    <row r="145" customFormat="false" ht="15" hidden="false" customHeight="false" outlineLevel="0" collapsed="false">
      <c r="A145" s="16"/>
      <c r="B145" s="14"/>
      <c r="C145" s="9" t="str">
        <f aca="false">IF(B145="","",IFERROR(INDEX(KOLs!$D$2:$D$300,MATCH(B145,KOLs!$A$2:$A$300,0)),"¿KOL no dado de alta?"))</f>
        <v/>
      </c>
      <c r="D145" s="15"/>
      <c r="E145" s="14"/>
      <c r="F145" s="14"/>
      <c r="G145" s="14"/>
      <c r="H145" s="14"/>
    </row>
    <row r="146" customFormat="false" ht="15" hidden="false" customHeight="false" outlineLevel="0" collapsed="false">
      <c r="A146" s="16"/>
      <c r="B146" s="14"/>
      <c r="C146" s="9" t="str">
        <f aca="false">IF(B146="","",IFERROR(INDEX(KOLs!$D$2:$D$300,MATCH(B146,KOLs!$A$2:$A$300,0)),"¿KOL no dado de alta?"))</f>
        <v/>
      </c>
      <c r="D146" s="15"/>
      <c r="E146" s="14"/>
      <c r="F146" s="14"/>
      <c r="G146" s="14"/>
      <c r="H146" s="14"/>
    </row>
    <row r="147" customFormat="false" ht="15" hidden="false" customHeight="false" outlineLevel="0" collapsed="false">
      <c r="A147" s="16"/>
      <c r="B147" s="14"/>
      <c r="C147" s="9" t="str">
        <f aca="false">IF(B147="","",IFERROR(INDEX(KOLs!$D$2:$D$300,MATCH(B147,KOLs!$A$2:$A$300,0)),"¿KOL no dado de alta?"))</f>
        <v/>
      </c>
      <c r="D147" s="15"/>
      <c r="E147" s="14"/>
      <c r="F147" s="14"/>
      <c r="G147" s="14"/>
      <c r="H147" s="14"/>
    </row>
    <row r="148" customFormat="false" ht="15" hidden="false" customHeight="false" outlineLevel="0" collapsed="false">
      <c r="A148" s="16"/>
      <c r="B148" s="14"/>
      <c r="C148" s="9" t="str">
        <f aca="false">IF(B148="","",IFERROR(INDEX(KOLs!$D$2:$D$300,MATCH(B148,KOLs!$A$2:$A$300,0)),"¿KOL no dado de alta?"))</f>
        <v/>
      </c>
      <c r="D148" s="15"/>
      <c r="E148" s="14"/>
      <c r="F148" s="14"/>
      <c r="G148" s="14"/>
      <c r="H148" s="14"/>
    </row>
    <row r="149" customFormat="false" ht="15" hidden="false" customHeight="false" outlineLevel="0" collapsed="false">
      <c r="A149" s="16"/>
      <c r="B149" s="14"/>
      <c r="C149" s="9" t="str">
        <f aca="false">IF(B149="","",IFERROR(INDEX(KOLs!$D$2:$D$300,MATCH(B149,KOLs!$A$2:$A$300,0)),"¿KOL no dado de alta?"))</f>
        <v/>
      </c>
      <c r="D149" s="15"/>
      <c r="E149" s="14"/>
      <c r="F149" s="14"/>
      <c r="G149" s="14"/>
      <c r="H149" s="14"/>
    </row>
    <row r="150" customFormat="false" ht="15" hidden="false" customHeight="false" outlineLevel="0" collapsed="false">
      <c r="A150" s="16"/>
      <c r="B150" s="14"/>
      <c r="C150" s="9" t="str">
        <f aca="false">IF(B150="","",IFERROR(INDEX(KOLs!$D$2:$D$300,MATCH(B150,KOLs!$A$2:$A$300,0)),"¿KOL no dado de alta?"))</f>
        <v/>
      </c>
      <c r="D150" s="15"/>
      <c r="E150" s="14"/>
      <c r="F150" s="14"/>
      <c r="G150" s="14"/>
      <c r="H150" s="14"/>
    </row>
    <row r="151" customFormat="false" ht="15" hidden="false" customHeight="false" outlineLevel="0" collapsed="false">
      <c r="A151" s="16"/>
      <c r="B151" s="14"/>
      <c r="C151" s="9" t="str">
        <f aca="false">IF(B151="","",IFERROR(INDEX(KOLs!$D$2:$D$300,MATCH(B151,KOLs!$A$2:$A$300,0)),"¿KOL no dado de alta?"))</f>
        <v/>
      </c>
      <c r="D151" s="15"/>
      <c r="E151" s="14"/>
      <c r="F151" s="14"/>
      <c r="G151" s="14"/>
      <c r="H151" s="14"/>
    </row>
    <row r="152" customFormat="false" ht="15" hidden="false" customHeight="false" outlineLevel="0" collapsed="false">
      <c r="A152" s="16"/>
      <c r="B152" s="14"/>
      <c r="C152" s="9" t="str">
        <f aca="false">IF(B152="","",IFERROR(INDEX(KOLs!$D$2:$D$300,MATCH(B152,KOLs!$A$2:$A$300,0)),"¿KOL no dado de alta?"))</f>
        <v/>
      </c>
      <c r="D152" s="15"/>
      <c r="E152" s="14"/>
      <c r="F152" s="14"/>
      <c r="G152" s="14"/>
      <c r="H152" s="14"/>
    </row>
    <row r="153" customFormat="false" ht="15" hidden="false" customHeight="false" outlineLevel="0" collapsed="false">
      <c r="A153" s="16"/>
      <c r="B153" s="14"/>
      <c r="C153" s="9" t="str">
        <f aca="false">IF(B153="","",IFERROR(INDEX(KOLs!$D$2:$D$300,MATCH(B153,KOLs!$A$2:$A$300,0)),"¿KOL no dado de alta?"))</f>
        <v/>
      </c>
      <c r="D153" s="15"/>
      <c r="E153" s="14"/>
      <c r="F153" s="14"/>
      <c r="G153" s="14"/>
      <c r="H153" s="14"/>
    </row>
    <row r="154" customFormat="false" ht="15" hidden="false" customHeight="false" outlineLevel="0" collapsed="false">
      <c r="A154" s="16"/>
      <c r="B154" s="14"/>
      <c r="C154" s="9" t="str">
        <f aca="false">IF(B154="","",IFERROR(INDEX(KOLs!$D$2:$D$300,MATCH(B154,KOLs!$A$2:$A$300,0)),"¿KOL no dado de alta?"))</f>
        <v/>
      </c>
      <c r="D154" s="15"/>
      <c r="E154" s="14"/>
      <c r="F154" s="14"/>
      <c r="G154" s="14"/>
      <c r="H154" s="14"/>
    </row>
    <row r="155" customFormat="false" ht="15" hidden="false" customHeight="false" outlineLevel="0" collapsed="false">
      <c r="A155" s="16"/>
      <c r="B155" s="14"/>
      <c r="C155" s="9" t="str">
        <f aca="false">IF(B155="","",IFERROR(INDEX(KOLs!$D$2:$D$300,MATCH(B155,KOLs!$A$2:$A$300,0)),"¿KOL no dado de alta?"))</f>
        <v/>
      </c>
      <c r="D155" s="15"/>
      <c r="E155" s="14"/>
      <c r="F155" s="14"/>
      <c r="G155" s="14"/>
      <c r="H155" s="14"/>
    </row>
    <row r="156" customFormat="false" ht="15" hidden="false" customHeight="false" outlineLevel="0" collapsed="false">
      <c r="A156" s="16"/>
      <c r="B156" s="14"/>
      <c r="C156" s="9" t="str">
        <f aca="false">IF(B156="","",IFERROR(INDEX(KOLs!$D$2:$D$300,MATCH(B156,KOLs!$A$2:$A$300,0)),"¿KOL no dado de alta?"))</f>
        <v/>
      </c>
      <c r="D156" s="15"/>
      <c r="E156" s="14"/>
      <c r="F156" s="14"/>
      <c r="G156" s="14"/>
      <c r="H156" s="14"/>
    </row>
    <row r="157" customFormat="false" ht="15" hidden="false" customHeight="false" outlineLevel="0" collapsed="false">
      <c r="A157" s="16"/>
      <c r="B157" s="14"/>
      <c r="C157" s="9" t="str">
        <f aca="false">IF(B157="","",IFERROR(INDEX(KOLs!$D$2:$D$300,MATCH(B157,KOLs!$A$2:$A$300,0)),"¿KOL no dado de alta?"))</f>
        <v/>
      </c>
      <c r="D157" s="15"/>
      <c r="E157" s="14"/>
      <c r="F157" s="14"/>
      <c r="G157" s="14"/>
      <c r="H157" s="14"/>
    </row>
    <row r="158" customFormat="false" ht="15" hidden="false" customHeight="false" outlineLevel="0" collapsed="false">
      <c r="A158" s="16"/>
      <c r="B158" s="14"/>
      <c r="C158" s="9" t="str">
        <f aca="false">IF(B158="","",IFERROR(INDEX(KOLs!$D$2:$D$300,MATCH(B158,KOLs!$A$2:$A$300,0)),"¿KOL no dado de alta?"))</f>
        <v/>
      </c>
      <c r="D158" s="15"/>
      <c r="E158" s="14"/>
      <c r="F158" s="14"/>
      <c r="G158" s="14"/>
      <c r="H158" s="14"/>
    </row>
    <row r="159" customFormat="false" ht="15" hidden="false" customHeight="false" outlineLevel="0" collapsed="false">
      <c r="A159" s="16"/>
      <c r="B159" s="14"/>
      <c r="C159" s="9" t="str">
        <f aca="false">IF(B159="","",IFERROR(INDEX(KOLs!$D$2:$D$300,MATCH(B159,KOLs!$A$2:$A$300,0)),"¿KOL no dado de alta?"))</f>
        <v/>
      </c>
      <c r="D159" s="15"/>
      <c r="E159" s="14"/>
      <c r="F159" s="14"/>
      <c r="G159" s="14"/>
      <c r="H159" s="14"/>
    </row>
    <row r="160" customFormat="false" ht="15" hidden="false" customHeight="false" outlineLevel="0" collapsed="false">
      <c r="A160" s="16"/>
      <c r="B160" s="14"/>
      <c r="C160" s="9" t="str">
        <f aca="false">IF(B160="","",IFERROR(INDEX(KOLs!$D$2:$D$300,MATCH(B160,KOLs!$A$2:$A$300,0)),"¿KOL no dado de alta?"))</f>
        <v/>
      </c>
      <c r="D160" s="15"/>
      <c r="E160" s="14"/>
      <c r="F160" s="14"/>
      <c r="G160" s="14"/>
      <c r="H160" s="14"/>
    </row>
    <row r="161" customFormat="false" ht="15" hidden="false" customHeight="false" outlineLevel="0" collapsed="false">
      <c r="A161" s="16"/>
      <c r="B161" s="14"/>
      <c r="C161" s="9" t="str">
        <f aca="false">IF(B161="","",IFERROR(INDEX(KOLs!$D$2:$D$300,MATCH(B161,KOLs!$A$2:$A$300,0)),"¿KOL no dado de alta?"))</f>
        <v/>
      </c>
      <c r="D161" s="15"/>
      <c r="E161" s="14"/>
      <c r="F161" s="14"/>
      <c r="G161" s="14"/>
      <c r="H161" s="14"/>
    </row>
    <row r="162" customFormat="false" ht="15" hidden="false" customHeight="false" outlineLevel="0" collapsed="false">
      <c r="A162" s="16"/>
      <c r="B162" s="14"/>
      <c r="C162" s="9" t="str">
        <f aca="false">IF(B162="","",IFERROR(INDEX(KOLs!$D$2:$D$300,MATCH(B162,KOLs!$A$2:$A$300,0)),"¿KOL no dado de alta?"))</f>
        <v/>
      </c>
      <c r="D162" s="15"/>
      <c r="E162" s="14"/>
      <c r="F162" s="14"/>
      <c r="G162" s="14"/>
      <c r="H162" s="14"/>
    </row>
    <row r="163" customFormat="false" ht="15" hidden="false" customHeight="false" outlineLevel="0" collapsed="false">
      <c r="A163" s="16"/>
      <c r="B163" s="14"/>
      <c r="C163" s="9" t="str">
        <f aca="false">IF(B163="","",IFERROR(INDEX(KOLs!$D$2:$D$300,MATCH(B163,KOLs!$A$2:$A$300,0)),"¿KOL no dado de alta?"))</f>
        <v/>
      </c>
      <c r="D163" s="15"/>
      <c r="E163" s="14"/>
      <c r="F163" s="14"/>
      <c r="G163" s="14"/>
      <c r="H163" s="14"/>
    </row>
    <row r="164" customFormat="false" ht="15" hidden="false" customHeight="false" outlineLevel="0" collapsed="false">
      <c r="A164" s="16"/>
      <c r="B164" s="14"/>
      <c r="C164" s="9" t="str">
        <f aca="false">IF(B164="","",IFERROR(INDEX(KOLs!$D$2:$D$300,MATCH(B164,KOLs!$A$2:$A$300,0)),"¿KOL no dado de alta?"))</f>
        <v/>
      </c>
      <c r="D164" s="15"/>
      <c r="E164" s="14"/>
      <c r="F164" s="14"/>
      <c r="G164" s="14"/>
      <c r="H164" s="14"/>
    </row>
    <row r="165" customFormat="false" ht="15" hidden="false" customHeight="false" outlineLevel="0" collapsed="false">
      <c r="A165" s="16"/>
      <c r="B165" s="14"/>
      <c r="C165" s="9" t="str">
        <f aca="false">IF(B165="","",IFERROR(INDEX(KOLs!$D$2:$D$300,MATCH(B165,KOLs!$A$2:$A$300,0)),"¿KOL no dado de alta?"))</f>
        <v/>
      </c>
      <c r="D165" s="15"/>
      <c r="E165" s="14"/>
      <c r="F165" s="14"/>
      <c r="G165" s="14"/>
      <c r="H165" s="14"/>
    </row>
    <row r="166" customFormat="false" ht="15" hidden="false" customHeight="false" outlineLevel="0" collapsed="false">
      <c r="A166" s="16"/>
      <c r="B166" s="14"/>
      <c r="C166" s="9" t="str">
        <f aca="false">IF(B166="","",IFERROR(INDEX(KOLs!$D$2:$D$300,MATCH(B166,KOLs!$A$2:$A$300,0)),"¿KOL no dado de alta?"))</f>
        <v/>
      </c>
      <c r="D166" s="15"/>
      <c r="E166" s="14"/>
      <c r="F166" s="14"/>
      <c r="G166" s="14"/>
      <c r="H166" s="14"/>
    </row>
    <row r="167" customFormat="false" ht="15" hidden="false" customHeight="false" outlineLevel="0" collapsed="false">
      <c r="A167" s="16"/>
      <c r="B167" s="14"/>
      <c r="C167" s="9" t="str">
        <f aca="false">IF(B167="","",IFERROR(INDEX(KOLs!$D$2:$D$300,MATCH(B167,KOLs!$A$2:$A$300,0)),"¿KOL no dado de alta?"))</f>
        <v/>
      </c>
      <c r="D167" s="15"/>
      <c r="E167" s="14"/>
      <c r="F167" s="14"/>
      <c r="G167" s="14"/>
      <c r="H167" s="14"/>
    </row>
    <row r="168" customFormat="false" ht="15" hidden="false" customHeight="false" outlineLevel="0" collapsed="false">
      <c r="A168" s="16"/>
      <c r="B168" s="14"/>
      <c r="C168" s="9" t="str">
        <f aca="false">IF(B168="","",IFERROR(INDEX(KOLs!$D$2:$D$300,MATCH(B168,KOLs!$A$2:$A$300,0)),"¿KOL no dado de alta?"))</f>
        <v/>
      </c>
      <c r="D168" s="15"/>
      <c r="E168" s="14"/>
      <c r="F168" s="14"/>
      <c r="G168" s="14"/>
      <c r="H168" s="14"/>
    </row>
    <row r="169" customFormat="false" ht="15" hidden="false" customHeight="false" outlineLevel="0" collapsed="false">
      <c r="A169" s="16"/>
      <c r="B169" s="14"/>
      <c r="C169" s="9" t="str">
        <f aca="false">IF(B169="","",IFERROR(INDEX(KOLs!$D$2:$D$300,MATCH(B169,KOLs!$A$2:$A$300,0)),"¿KOL no dado de alta?"))</f>
        <v/>
      </c>
      <c r="D169" s="15"/>
      <c r="E169" s="14"/>
      <c r="F169" s="14"/>
      <c r="G169" s="14"/>
      <c r="H169" s="14"/>
    </row>
    <row r="170" customFormat="false" ht="15" hidden="false" customHeight="false" outlineLevel="0" collapsed="false">
      <c r="A170" s="16"/>
      <c r="B170" s="14"/>
      <c r="C170" s="9" t="str">
        <f aca="false">IF(B170="","",IFERROR(INDEX(KOLs!$D$2:$D$300,MATCH(B170,KOLs!$A$2:$A$300,0)),"¿KOL no dado de alta?"))</f>
        <v/>
      </c>
      <c r="D170" s="15"/>
      <c r="E170" s="14"/>
      <c r="F170" s="14"/>
      <c r="G170" s="14"/>
      <c r="H170" s="14"/>
    </row>
    <row r="171" customFormat="false" ht="15" hidden="false" customHeight="false" outlineLevel="0" collapsed="false">
      <c r="A171" s="16"/>
      <c r="B171" s="14"/>
      <c r="C171" s="9" t="str">
        <f aca="false">IF(B171="","",IFERROR(INDEX(KOLs!$D$2:$D$300,MATCH(B171,KOLs!$A$2:$A$300,0)),"¿KOL no dado de alta?"))</f>
        <v/>
      </c>
      <c r="D171" s="15"/>
      <c r="E171" s="14"/>
      <c r="F171" s="14"/>
      <c r="G171" s="14"/>
      <c r="H171" s="14"/>
    </row>
    <row r="172" customFormat="false" ht="15" hidden="false" customHeight="false" outlineLevel="0" collapsed="false">
      <c r="A172" s="16"/>
      <c r="B172" s="14"/>
      <c r="C172" s="9" t="str">
        <f aca="false">IF(B172="","",IFERROR(INDEX(KOLs!$D$2:$D$300,MATCH(B172,KOLs!$A$2:$A$300,0)),"¿KOL no dado de alta?"))</f>
        <v/>
      </c>
      <c r="D172" s="15"/>
      <c r="E172" s="14"/>
      <c r="F172" s="14"/>
      <c r="G172" s="14"/>
      <c r="H172" s="14"/>
    </row>
    <row r="173" customFormat="false" ht="15" hidden="false" customHeight="false" outlineLevel="0" collapsed="false">
      <c r="A173" s="16"/>
      <c r="B173" s="14"/>
      <c r="C173" s="9" t="str">
        <f aca="false">IF(B173="","",IFERROR(INDEX(KOLs!$D$2:$D$300,MATCH(B173,KOLs!$A$2:$A$300,0)),"¿KOL no dado de alta?"))</f>
        <v/>
      </c>
      <c r="D173" s="15"/>
      <c r="E173" s="14"/>
      <c r="F173" s="14"/>
      <c r="G173" s="14"/>
      <c r="H173" s="14"/>
    </row>
    <row r="174" customFormat="false" ht="15" hidden="false" customHeight="false" outlineLevel="0" collapsed="false">
      <c r="A174" s="16"/>
      <c r="B174" s="14"/>
      <c r="C174" s="9" t="str">
        <f aca="false">IF(B174="","",IFERROR(INDEX(KOLs!$D$2:$D$300,MATCH(B174,KOLs!$A$2:$A$300,0)),"¿KOL no dado de alta?"))</f>
        <v/>
      </c>
      <c r="D174" s="15"/>
      <c r="E174" s="14"/>
      <c r="F174" s="14"/>
      <c r="G174" s="14"/>
      <c r="H174" s="14"/>
    </row>
    <row r="175" customFormat="false" ht="15" hidden="false" customHeight="false" outlineLevel="0" collapsed="false">
      <c r="A175" s="16"/>
      <c r="B175" s="14"/>
      <c r="C175" s="9" t="str">
        <f aca="false">IF(B175="","",IFERROR(INDEX(KOLs!$D$2:$D$300,MATCH(B175,KOLs!$A$2:$A$300,0)),"¿KOL no dado de alta?"))</f>
        <v/>
      </c>
      <c r="D175" s="15"/>
      <c r="E175" s="14"/>
      <c r="F175" s="14"/>
      <c r="G175" s="14"/>
      <c r="H175" s="14"/>
    </row>
    <row r="176" customFormat="false" ht="15" hidden="false" customHeight="false" outlineLevel="0" collapsed="false">
      <c r="A176" s="16"/>
      <c r="B176" s="14"/>
      <c r="C176" s="9" t="str">
        <f aca="false">IF(B176="","",IFERROR(INDEX(KOLs!$D$2:$D$300,MATCH(B176,KOLs!$A$2:$A$300,0)),"¿KOL no dado de alta?"))</f>
        <v/>
      </c>
      <c r="D176" s="15"/>
      <c r="E176" s="14"/>
      <c r="F176" s="14"/>
      <c r="G176" s="14"/>
      <c r="H176" s="14"/>
    </row>
    <row r="177" customFormat="false" ht="15" hidden="false" customHeight="false" outlineLevel="0" collapsed="false">
      <c r="A177" s="16"/>
      <c r="B177" s="14"/>
      <c r="C177" s="9" t="str">
        <f aca="false">IF(B177="","",IFERROR(INDEX(KOLs!$D$2:$D$300,MATCH(B177,KOLs!$A$2:$A$300,0)),"¿KOL no dado de alta?"))</f>
        <v/>
      </c>
      <c r="D177" s="15"/>
      <c r="E177" s="14"/>
      <c r="F177" s="14"/>
      <c r="G177" s="14"/>
      <c r="H177" s="14"/>
    </row>
    <row r="178" customFormat="false" ht="15" hidden="false" customHeight="false" outlineLevel="0" collapsed="false">
      <c r="A178" s="16"/>
      <c r="B178" s="14"/>
      <c r="C178" s="9" t="str">
        <f aca="false">IF(B178="","",IFERROR(INDEX(KOLs!$D$2:$D$300,MATCH(B178,KOLs!$A$2:$A$300,0)),"¿KOL no dado de alta?"))</f>
        <v/>
      </c>
      <c r="D178" s="15"/>
      <c r="E178" s="14"/>
      <c r="F178" s="14"/>
      <c r="G178" s="14"/>
      <c r="H178" s="14"/>
    </row>
    <row r="179" customFormat="false" ht="15" hidden="false" customHeight="false" outlineLevel="0" collapsed="false">
      <c r="A179" s="16"/>
      <c r="B179" s="14"/>
      <c r="C179" s="9" t="str">
        <f aca="false">IF(B179="","",IFERROR(INDEX(KOLs!$D$2:$D$300,MATCH(B179,KOLs!$A$2:$A$300,0)),"¿KOL no dado de alta?"))</f>
        <v/>
      </c>
      <c r="D179" s="15"/>
      <c r="E179" s="14"/>
      <c r="F179" s="14"/>
      <c r="G179" s="14"/>
      <c r="H179" s="14"/>
    </row>
    <row r="180" customFormat="false" ht="15" hidden="false" customHeight="false" outlineLevel="0" collapsed="false">
      <c r="A180" s="16"/>
      <c r="B180" s="14"/>
      <c r="C180" s="9" t="str">
        <f aca="false">IF(B180="","",IFERROR(INDEX(KOLs!$D$2:$D$300,MATCH(B180,KOLs!$A$2:$A$300,0)),"¿KOL no dado de alta?"))</f>
        <v/>
      </c>
      <c r="D180" s="15"/>
      <c r="E180" s="14"/>
      <c r="F180" s="14"/>
      <c r="G180" s="14"/>
      <c r="H180" s="14"/>
    </row>
    <row r="181" customFormat="false" ht="15" hidden="false" customHeight="false" outlineLevel="0" collapsed="false">
      <c r="A181" s="16"/>
      <c r="B181" s="14"/>
      <c r="C181" s="9" t="str">
        <f aca="false">IF(B181="","",IFERROR(INDEX(KOLs!$D$2:$D$300,MATCH(B181,KOLs!$A$2:$A$300,0)),"¿KOL no dado de alta?"))</f>
        <v/>
      </c>
      <c r="D181" s="15"/>
      <c r="E181" s="14"/>
      <c r="F181" s="14"/>
      <c r="G181" s="14"/>
      <c r="H181" s="14"/>
    </row>
    <row r="182" customFormat="false" ht="15" hidden="false" customHeight="false" outlineLevel="0" collapsed="false">
      <c r="A182" s="16"/>
      <c r="B182" s="14"/>
      <c r="C182" s="9" t="str">
        <f aca="false">IF(B182="","",IFERROR(INDEX(KOLs!$D$2:$D$300,MATCH(B182,KOLs!$A$2:$A$300,0)),"¿KOL no dado de alta?"))</f>
        <v/>
      </c>
      <c r="D182" s="15"/>
      <c r="E182" s="14"/>
      <c r="F182" s="14"/>
      <c r="G182" s="14"/>
      <c r="H182" s="14"/>
    </row>
    <row r="183" customFormat="false" ht="15" hidden="false" customHeight="false" outlineLevel="0" collapsed="false">
      <c r="A183" s="16"/>
      <c r="B183" s="14"/>
      <c r="C183" s="9" t="str">
        <f aca="false">IF(B183="","",IFERROR(INDEX(KOLs!$D$2:$D$300,MATCH(B183,KOLs!$A$2:$A$300,0)),"¿KOL no dado de alta?"))</f>
        <v/>
      </c>
      <c r="D183" s="15"/>
      <c r="E183" s="14"/>
      <c r="F183" s="14"/>
      <c r="G183" s="14"/>
      <c r="H183" s="14"/>
    </row>
    <row r="184" customFormat="false" ht="15" hidden="false" customHeight="false" outlineLevel="0" collapsed="false">
      <c r="A184" s="16"/>
      <c r="B184" s="14"/>
      <c r="C184" s="9" t="str">
        <f aca="false">IF(B184="","",IFERROR(INDEX(KOLs!$D$2:$D$300,MATCH(B184,KOLs!$A$2:$A$300,0)),"¿KOL no dado de alta?"))</f>
        <v/>
      </c>
      <c r="D184" s="15"/>
      <c r="E184" s="14"/>
      <c r="F184" s="14"/>
      <c r="G184" s="14"/>
      <c r="H184" s="14"/>
    </row>
    <row r="185" customFormat="false" ht="15" hidden="false" customHeight="false" outlineLevel="0" collapsed="false">
      <c r="A185" s="16"/>
      <c r="B185" s="14"/>
      <c r="C185" s="9" t="str">
        <f aca="false">IF(B185="","",IFERROR(INDEX(KOLs!$D$2:$D$300,MATCH(B185,KOLs!$A$2:$A$300,0)),"¿KOL no dado de alta?"))</f>
        <v/>
      </c>
      <c r="D185" s="15"/>
      <c r="E185" s="14"/>
      <c r="F185" s="14"/>
      <c r="G185" s="14"/>
      <c r="H185" s="14"/>
    </row>
    <row r="186" customFormat="false" ht="15" hidden="false" customHeight="false" outlineLevel="0" collapsed="false">
      <c r="A186" s="16"/>
      <c r="B186" s="14"/>
      <c r="C186" s="9" t="str">
        <f aca="false">IF(B186="","",IFERROR(INDEX(KOLs!$D$2:$D$300,MATCH(B186,KOLs!$A$2:$A$300,0)),"¿KOL no dado de alta?"))</f>
        <v/>
      </c>
      <c r="D186" s="15"/>
      <c r="E186" s="14"/>
      <c r="F186" s="14"/>
      <c r="G186" s="14"/>
      <c r="H186" s="14"/>
    </row>
    <row r="187" customFormat="false" ht="15" hidden="false" customHeight="false" outlineLevel="0" collapsed="false">
      <c r="A187" s="16"/>
      <c r="B187" s="14"/>
      <c r="C187" s="9" t="str">
        <f aca="false">IF(B187="","",IFERROR(INDEX(KOLs!$D$2:$D$300,MATCH(B187,KOLs!$A$2:$A$300,0)),"¿KOL no dado de alta?"))</f>
        <v/>
      </c>
      <c r="D187" s="15"/>
      <c r="E187" s="14"/>
      <c r="F187" s="14"/>
      <c r="G187" s="14"/>
      <c r="H187" s="14"/>
    </row>
    <row r="188" customFormat="false" ht="15" hidden="false" customHeight="false" outlineLevel="0" collapsed="false">
      <c r="A188" s="16"/>
      <c r="B188" s="14"/>
      <c r="C188" s="9" t="str">
        <f aca="false">IF(B188="","",IFERROR(INDEX(KOLs!$D$2:$D$300,MATCH(B188,KOLs!$A$2:$A$300,0)),"¿KOL no dado de alta?"))</f>
        <v/>
      </c>
      <c r="D188" s="15"/>
      <c r="E188" s="14"/>
      <c r="F188" s="14"/>
      <c r="G188" s="14"/>
      <c r="H188" s="14"/>
    </row>
    <row r="189" customFormat="false" ht="15" hidden="false" customHeight="false" outlineLevel="0" collapsed="false">
      <c r="A189" s="16"/>
      <c r="B189" s="14"/>
      <c r="C189" s="9" t="str">
        <f aca="false">IF(B189="","",IFERROR(INDEX(KOLs!$D$2:$D$300,MATCH(B189,KOLs!$A$2:$A$300,0)),"¿KOL no dado de alta?"))</f>
        <v/>
      </c>
      <c r="D189" s="15"/>
      <c r="E189" s="14"/>
      <c r="F189" s="14"/>
      <c r="G189" s="14"/>
      <c r="H189" s="14"/>
    </row>
    <row r="190" customFormat="false" ht="15" hidden="false" customHeight="false" outlineLevel="0" collapsed="false">
      <c r="A190" s="16"/>
      <c r="B190" s="14"/>
      <c r="C190" s="9" t="str">
        <f aca="false">IF(B190="","",IFERROR(INDEX(KOLs!$D$2:$D$300,MATCH(B190,KOLs!$A$2:$A$300,0)),"¿KOL no dado de alta?"))</f>
        <v/>
      </c>
      <c r="D190" s="15"/>
      <c r="E190" s="14"/>
      <c r="F190" s="14"/>
      <c r="G190" s="14"/>
      <c r="H190" s="14"/>
    </row>
    <row r="191" customFormat="false" ht="15" hidden="false" customHeight="false" outlineLevel="0" collapsed="false">
      <c r="A191" s="16"/>
      <c r="B191" s="14"/>
      <c r="C191" s="9" t="str">
        <f aca="false">IF(B191="","",IFERROR(INDEX(KOLs!$D$2:$D$300,MATCH(B191,KOLs!$A$2:$A$300,0)),"¿KOL no dado de alta?"))</f>
        <v/>
      </c>
      <c r="D191" s="15"/>
      <c r="E191" s="14"/>
      <c r="F191" s="14"/>
      <c r="G191" s="14"/>
      <c r="H191" s="14"/>
    </row>
    <row r="192" customFormat="false" ht="15" hidden="false" customHeight="false" outlineLevel="0" collapsed="false">
      <c r="A192" s="16"/>
      <c r="B192" s="14"/>
      <c r="C192" s="9" t="str">
        <f aca="false">IF(B192="","",IFERROR(INDEX(KOLs!$D$2:$D$300,MATCH(B192,KOLs!$A$2:$A$300,0)),"¿KOL no dado de alta?"))</f>
        <v/>
      </c>
      <c r="D192" s="15"/>
      <c r="E192" s="14"/>
      <c r="F192" s="14"/>
      <c r="G192" s="14"/>
      <c r="H192" s="14"/>
    </row>
    <row r="193" customFormat="false" ht="15" hidden="false" customHeight="false" outlineLevel="0" collapsed="false">
      <c r="A193" s="16"/>
      <c r="B193" s="14"/>
      <c r="C193" s="9" t="str">
        <f aca="false">IF(B193="","",IFERROR(INDEX(KOLs!$D$2:$D$300,MATCH(B193,KOLs!$A$2:$A$300,0)),"¿KOL no dado de alta?"))</f>
        <v/>
      </c>
      <c r="D193" s="15"/>
      <c r="E193" s="14"/>
      <c r="F193" s="14"/>
      <c r="G193" s="14"/>
      <c r="H193" s="14"/>
    </row>
    <row r="194" customFormat="false" ht="15" hidden="false" customHeight="false" outlineLevel="0" collapsed="false">
      <c r="A194" s="16"/>
      <c r="B194" s="14"/>
      <c r="C194" s="9" t="str">
        <f aca="false">IF(B194="","",IFERROR(INDEX(KOLs!$D$2:$D$300,MATCH(B194,KOLs!$A$2:$A$300,0)),"¿KOL no dado de alta?"))</f>
        <v/>
      </c>
      <c r="D194" s="15"/>
      <c r="E194" s="14"/>
      <c r="F194" s="14"/>
      <c r="G194" s="14"/>
      <c r="H194" s="14"/>
    </row>
    <row r="195" customFormat="false" ht="15" hidden="false" customHeight="false" outlineLevel="0" collapsed="false">
      <c r="A195" s="16"/>
      <c r="B195" s="14"/>
      <c r="C195" s="9" t="str">
        <f aca="false">IF(B195="","",IFERROR(INDEX(KOLs!$D$2:$D$300,MATCH(B195,KOLs!$A$2:$A$300,0)),"¿KOL no dado de alta?"))</f>
        <v/>
      </c>
      <c r="D195" s="15"/>
      <c r="E195" s="14"/>
      <c r="F195" s="14"/>
      <c r="G195" s="14"/>
      <c r="H195" s="14"/>
    </row>
    <row r="196" customFormat="false" ht="15" hidden="false" customHeight="false" outlineLevel="0" collapsed="false">
      <c r="A196" s="16"/>
      <c r="B196" s="14"/>
      <c r="C196" s="9" t="str">
        <f aca="false">IF(B196="","",IFERROR(INDEX(KOLs!$D$2:$D$300,MATCH(B196,KOLs!$A$2:$A$300,0)),"¿KOL no dado de alta?"))</f>
        <v/>
      </c>
      <c r="D196" s="15"/>
      <c r="E196" s="14"/>
      <c r="F196" s="14"/>
      <c r="G196" s="14"/>
      <c r="H196" s="14"/>
    </row>
    <row r="197" customFormat="false" ht="15" hidden="false" customHeight="false" outlineLevel="0" collapsed="false">
      <c r="A197" s="16"/>
      <c r="B197" s="14"/>
      <c r="C197" s="9" t="str">
        <f aca="false">IF(B197="","",IFERROR(INDEX(KOLs!$D$2:$D$300,MATCH(B197,KOLs!$A$2:$A$300,0)),"¿KOL no dado de alta?"))</f>
        <v/>
      </c>
      <c r="D197" s="15"/>
      <c r="E197" s="14"/>
      <c r="F197" s="14"/>
      <c r="G197" s="14"/>
      <c r="H197" s="14"/>
    </row>
    <row r="198" customFormat="false" ht="15" hidden="false" customHeight="false" outlineLevel="0" collapsed="false">
      <c r="A198" s="16"/>
      <c r="B198" s="14"/>
      <c r="C198" s="9" t="str">
        <f aca="false">IF(B198="","",IFERROR(INDEX(KOLs!$D$2:$D$300,MATCH(B198,KOLs!$A$2:$A$300,0)),"¿KOL no dado de alta?"))</f>
        <v/>
      </c>
      <c r="D198" s="15"/>
      <c r="E198" s="14"/>
      <c r="F198" s="14"/>
      <c r="G198" s="14"/>
      <c r="H198" s="14"/>
    </row>
    <row r="199" customFormat="false" ht="15" hidden="false" customHeight="false" outlineLevel="0" collapsed="false">
      <c r="A199" s="16"/>
      <c r="B199" s="14"/>
      <c r="C199" s="9" t="str">
        <f aca="false">IF(B199="","",IFERROR(INDEX(KOLs!$D$2:$D$300,MATCH(B199,KOLs!$A$2:$A$300,0)),"¿KOL no dado de alta?"))</f>
        <v/>
      </c>
      <c r="D199" s="15"/>
      <c r="E199" s="14"/>
      <c r="F199" s="14"/>
      <c r="G199" s="14"/>
      <c r="H199" s="14"/>
    </row>
    <row r="200" customFormat="false" ht="15" hidden="false" customHeight="false" outlineLevel="0" collapsed="false">
      <c r="A200" s="16"/>
      <c r="B200" s="14"/>
      <c r="C200" s="9" t="str">
        <f aca="false">IF(B200="","",IFERROR(INDEX(KOLs!$D$2:$D$300,MATCH(B200,KOLs!$A$2:$A$300,0)),"¿KOL no dado de alta?"))</f>
        <v/>
      </c>
      <c r="D200" s="15"/>
      <c r="E200" s="14"/>
      <c r="F200" s="14"/>
      <c r="G200" s="14"/>
      <c r="H200" s="14"/>
    </row>
    <row r="201" customFormat="false" ht="15" hidden="false" customHeight="false" outlineLevel="0" collapsed="false">
      <c r="A201" s="16"/>
      <c r="B201" s="14"/>
      <c r="C201" s="9" t="str">
        <f aca="false">IF(B201="","",IFERROR(INDEX(KOLs!$D$2:$D$300,MATCH(B201,KOLs!$A$2:$A$300,0)),"¿KOL no dado de alta?"))</f>
        <v/>
      </c>
      <c r="D201" s="15"/>
      <c r="E201" s="14"/>
      <c r="F201" s="14"/>
      <c r="G201" s="14"/>
      <c r="H201" s="14"/>
    </row>
    <row r="202" customFormat="false" ht="15" hidden="false" customHeight="false" outlineLevel="0" collapsed="false">
      <c r="A202" s="16"/>
      <c r="B202" s="14"/>
      <c r="C202" s="9" t="str">
        <f aca="false">IF(B202="","",IFERROR(INDEX(KOLs!$D$2:$D$300,MATCH(B202,KOLs!$A$2:$A$300,0)),"¿KOL no dado de alta?"))</f>
        <v/>
      </c>
      <c r="D202" s="15"/>
      <c r="E202" s="14"/>
      <c r="F202" s="14"/>
      <c r="G202" s="14"/>
      <c r="H202" s="14"/>
    </row>
    <row r="203" customFormat="false" ht="15" hidden="false" customHeight="false" outlineLevel="0" collapsed="false">
      <c r="A203" s="16"/>
      <c r="B203" s="14"/>
      <c r="C203" s="9" t="str">
        <f aca="false">IF(B203="","",IFERROR(INDEX(KOLs!$D$2:$D$300,MATCH(B203,KOLs!$A$2:$A$300,0)),"¿KOL no dado de alta?"))</f>
        <v/>
      </c>
      <c r="D203" s="15"/>
      <c r="E203" s="14"/>
      <c r="F203" s="14"/>
      <c r="G203" s="14"/>
      <c r="H203" s="14"/>
    </row>
    <row r="204" customFormat="false" ht="15" hidden="false" customHeight="false" outlineLevel="0" collapsed="false">
      <c r="A204" s="16"/>
      <c r="B204" s="14"/>
      <c r="C204" s="9" t="str">
        <f aca="false">IF(B204="","",IFERROR(INDEX(KOLs!$D$2:$D$300,MATCH(B204,KOLs!$A$2:$A$300,0)),"¿KOL no dado de alta?"))</f>
        <v/>
      </c>
      <c r="D204" s="15"/>
      <c r="E204" s="14"/>
      <c r="F204" s="14"/>
      <c r="G204" s="14"/>
      <c r="H204" s="14"/>
    </row>
    <row r="205" customFormat="false" ht="15" hidden="false" customHeight="false" outlineLevel="0" collapsed="false">
      <c r="A205" s="16"/>
      <c r="B205" s="14"/>
      <c r="C205" s="9" t="str">
        <f aca="false">IF(B205="","",IFERROR(INDEX(KOLs!$D$2:$D$300,MATCH(B205,KOLs!$A$2:$A$300,0)),"¿KOL no dado de alta?"))</f>
        <v/>
      </c>
      <c r="D205" s="15"/>
      <c r="E205" s="14"/>
      <c r="F205" s="14"/>
      <c r="G205" s="14"/>
      <c r="H205" s="14"/>
    </row>
    <row r="206" customFormat="false" ht="15" hidden="false" customHeight="false" outlineLevel="0" collapsed="false">
      <c r="A206" s="16"/>
      <c r="B206" s="14"/>
      <c r="C206" s="9" t="str">
        <f aca="false">IF(B206="","",IFERROR(INDEX(KOLs!$D$2:$D$300,MATCH(B206,KOLs!$A$2:$A$300,0)),"¿KOL no dado de alta?"))</f>
        <v/>
      </c>
      <c r="D206" s="15"/>
      <c r="E206" s="14"/>
      <c r="F206" s="14"/>
      <c r="G206" s="14"/>
      <c r="H206" s="14"/>
    </row>
    <row r="207" customFormat="false" ht="15" hidden="false" customHeight="false" outlineLevel="0" collapsed="false">
      <c r="A207" s="16"/>
      <c r="B207" s="14"/>
      <c r="C207" s="9" t="str">
        <f aca="false">IF(B207="","",IFERROR(INDEX(KOLs!$D$2:$D$300,MATCH(B207,KOLs!$A$2:$A$300,0)),"¿KOL no dado de alta?"))</f>
        <v/>
      </c>
      <c r="D207" s="15"/>
      <c r="E207" s="14"/>
      <c r="F207" s="14"/>
      <c r="G207" s="14"/>
      <c r="H207" s="14"/>
    </row>
    <row r="208" customFormat="false" ht="15" hidden="false" customHeight="false" outlineLevel="0" collapsed="false">
      <c r="A208" s="16"/>
      <c r="B208" s="14"/>
      <c r="C208" s="9" t="str">
        <f aca="false">IF(B208="","",IFERROR(INDEX(KOLs!$D$2:$D$300,MATCH(B208,KOLs!$A$2:$A$300,0)),"¿KOL no dado de alta?"))</f>
        <v/>
      </c>
      <c r="D208" s="15"/>
      <c r="E208" s="14"/>
      <c r="F208" s="14"/>
      <c r="G208" s="14"/>
      <c r="H208" s="14"/>
    </row>
    <row r="209" customFormat="false" ht="15" hidden="false" customHeight="false" outlineLevel="0" collapsed="false">
      <c r="A209" s="16"/>
      <c r="B209" s="14"/>
      <c r="C209" s="9" t="str">
        <f aca="false">IF(B209="","",IFERROR(INDEX(KOLs!$D$2:$D$300,MATCH(B209,KOLs!$A$2:$A$300,0)),"¿KOL no dado de alta?"))</f>
        <v/>
      </c>
      <c r="D209" s="15"/>
      <c r="E209" s="14"/>
      <c r="F209" s="14"/>
      <c r="G209" s="14"/>
      <c r="H209" s="14"/>
    </row>
    <row r="210" customFormat="false" ht="15" hidden="false" customHeight="false" outlineLevel="0" collapsed="false">
      <c r="A210" s="16"/>
      <c r="B210" s="14"/>
      <c r="C210" s="9" t="str">
        <f aca="false">IF(B210="","",IFERROR(INDEX(KOLs!$D$2:$D$300,MATCH(B210,KOLs!$A$2:$A$300,0)),"¿KOL no dado de alta?"))</f>
        <v/>
      </c>
      <c r="D210" s="15"/>
      <c r="E210" s="14"/>
      <c r="F210" s="14"/>
      <c r="G210" s="14"/>
      <c r="H210" s="14"/>
    </row>
    <row r="211" customFormat="false" ht="15" hidden="false" customHeight="false" outlineLevel="0" collapsed="false">
      <c r="A211" s="16"/>
      <c r="B211" s="14"/>
      <c r="C211" s="9" t="str">
        <f aca="false">IF(B211="","",IFERROR(INDEX(KOLs!$D$2:$D$300,MATCH(B211,KOLs!$A$2:$A$300,0)),"¿KOL no dado de alta?"))</f>
        <v/>
      </c>
      <c r="D211" s="15"/>
      <c r="E211" s="14"/>
      <c r="F211" s="14"/>
      <c r="G211" s="14"/>
      <c r="H211" s="14"/>
    </row>
    <row r="212" customFormat="false" ht="15" hidden="false" customHeight="false" outlineLevel="0" collapsed="false">
      <c r="A212" s="16"/>
      <c r="B212" s="14"/>
      <c r="C212" s="9" t="str">
        <f aca="false">IF(B212="","",IFERROR(INDEX(KOLs!$D$2:$D$300,MATCH(B212,KOLs!$A$2:$A$300,0)),"¿KOL no dado de alta?"))</f>
        <v/>
      </c>
      <c r="D212" s="15"/>
      <c r="E212" s="14"/>
      <c r="F212" s="14"/>
      <c r="G212" s="14"/>
      <c r="H212" s="14"/>
    </row>
    <row r="213" customFormat="false" ht="15" hidden="false" customHeight="false" outlineLevel="0" collapsed="false">
      <c r="A213" s="16"/>
      <c r="B213" s="14"/>
      <c r="C213" s="9" t="str">
        <f aca="false">IF(B213="","",IFERROR(INDEX(KOLs!$D$2:$D$300,MATCH(B213,KOLs!$A$2:$A$300,0)),"¿KOL no dado de alta?"))</f>
        <v/>
      </c>
      <c r="D213" s="15"/>
      <c r="E213" s="14"/>
      <c r="F213" s="14"/>
      <c r="G213" s="14"/>
      <c r="H213" s="14"/>
    </row>
    <row r="214" customFormat="false" ht="15" hidden="false" customHeight="false" outlineLevel="0" collapsed="false">
      <c r="A214" s="16"/>
      <c r="B214" s="14"/>
      <c r="C214" s="9" t="str">
        <f aca="false">IF(B214="","",IFERROR(INDEX(KOLs!$D$2:$D$300,MATCH(B214,KOLs!$A$2:$A$300,0)),"¿KOL no dado de alta?"))</f>
        <v/>
      </c>
      <c r="D214" s="15"/>
      <c r="E214" s="14"/>
      <c r="F214" s="14"/>
      <c r="G214" s="14"/>
      <c r="H214" s="14"/>
    </row>
    <row r="215" customFormat="false" ht="15" hidden="false" customHeight="false" outlineLevel="0" collapsed="false">
      <c r="A215" s="16"/>
      <c r="B215" s="14"/>
      <c r="C215" s="9" t="str">
        <f aca="false">IF(B215="","",IFERROR(INDEX(KOLs!$D$2:$D$300,MATCH(B215,KOLs!$A$2:$A$300,0)),"¿KOL no dado de alta?"))</f>
        <v/>
      </c>
      <c r="D215" s="15"/>
      <c r="E215" s="14"/>
      <c r="F215" s="14"/>
      <c r="G215" s="14"/>
      <c r="H215" s="14"/>
    </row>
    <row r="216" customFormat="false" ht="15" hidden="false" customHeight="false" outlineLevel="0" collapsed="false">
      <c r="A216" s="16"/>
      <c r="B216" s="14"/>
      <c r="C216" s="9" t="str">
        <f aca="false">IF(B216="","",IFERROR(INDEX(KOLs!$D$2:$D$300,MATCH(B216,KOLs!$A$2:$A$300,0)),"¿KOL no dado de alta?"))</f>
        <v/>
      </c>
      <c r="D216" s="15"/>
      <c r="E216" s="14"/>
      <c r="F216" s="14"/>
      <c r="G216" s="14"/>
      <c r="H216" s="14"/>
    </row>
    <row r="217" customFormat="false" ht="15" hidden="false" customHeight="false" outlineLevel="0" collapsed="false">
      <c r="A217" s="16"/>
      <c r="B217" s="14"/>
      <c r="C217" s="9" t="str">
        <f aca="false">IF(B217="","",IFERROR(INDEX(KOLs!$D$2:$D$300,MATCH(B217,KOLs!$A$2:$A$300,0)),"¿KOL no dado de alta?"))</f>
        <v/>
      </c>
      <c r="D217" s="15"/>
      <c r="E217" s="14"/>
      <c r="F217" s="14"/>
      <c r="G217" s="14"/>
      <c r="H217" s="14"/>
    </row>
    <row r="218" customFormat="false" ht="15" hidden="false" customHeight="false" outlineLevel="0" collapsed="false">
      <c r="A218" s="16"/>
      <c r="B218" s="14"/>
      <c r="C218" s="9" t="str">
        <f aca="false">IF(B218="","",IFERROR(INDEX(KOLs!$D$2:$D$300,MATCH(B218,KOLs!$A$2:$A$300,0)),"¿KOL no dado de alta?"))</f>
        <v/>
      </c>
      <c r="D218" s="15"/>
      <c r="E218" s="14"/>
      <c r="F218" s="14"/>
      <c r="G218" s="14"/>
      <c r="H218" s="14"/>
    </row>
    <row r="219" customFormat="false" ht="15" hidden="false" customHeight="false" outlineLevel="0" collapsed="false">
      <c r="A219" s="16"/>
      <c r="B219" s="14"/>
      <c r="C219" s="9" t="str">
        <f aca="false">IF(B219="","",IFERROR(INDEX(KOLs!$D$2:$D$300,MATCH(B219,KOLs!$A$2:$A$300,0)),"¿KOL no dado de alta?"))</f>
        <v/>
      </c>
      <c r="D219" s="15"/>
      <c r="E219" s="14"/>
      <c r="F219" s="14"/>
      <c r="G219" s="14"/>
      <c r="H219" s="14"/>
    </row>
    <row r="220" customFormat="false" ht="15" hidden="false" customHeight="false" outlineLevel="0" collapsed="false">
      <c r="A220" s="16"/>
      <c r="B220" s="14"/>
      <c r="C220" s="9" t="str">
        <f aca="false">IF(B220="","",IFERROR(INDEX(KOLs!$D$2:$D$300,MATCH(B220,KOLs!$A$2:$A$300,0)),"¿KOL no dado de alta?"))</f>
        <v/>
      </c>
      <c r="D220" s="15"/>
      <c r="E220" s="14"/>
      <c r="F220" s="14"/>
      <c r="G220" s="14"/>
      <c r="H220" s="14"/>
    </row>
    <row r="221" customFormat="false" ht="15" hidden="false" customHeight="false" outlineLevel="0" collapsed="false">
      <c r="A221" s="16"/>
      <c r="B221" s="14"/>
      <c r="C221" s="9" t="str">
        <f aca="false">IF(B221="","",IFERROR(INDEX(KOLs!$D$2:$D$300,MATCH(B221,KOLs!$A$2:$A$300,0)),"¿KOL no dado de alta?"))</f>
        <v/>
      </c>
      <c r="D221" s="15"/>
      <c r="E221" s="14"/>
      <c r="F221" s="14"/>
      <c r="G221" s="14"/>
      <c r="H221" s="14"/>
    </row>
    <row r="222" customFormat="false" ht="15" hidden="false" customHeight="false" outlineLevel="0" collapsed="false">
      <c r="A222" s="16"/>
      <c r="B222" s="14"/>
      <c r="C222" s="9" t="str">
        <f aca="false">IF(B222="","",IFERROR(INDEX(KOLs!$D$2:$D$300,MATCH(B222,KOLs!$A$2:$A$300,0)),"¿KOL no dado de alta?"))</f>
        <v/>
      </c>
      <c r="D222" s="15"/>
      <c r="E222" s="14"/>
      <c r="F222" s="14"/>
      <c r="G222" s="14"/>
      <c r="H222" s="14"/>
    </row>
    <row r="223" customFormat="false" ht="15" hidden="false" customHeight="false" outlineLevel="0" collapsed="false">
      <c r="A223" s="16"/>
      <c r="B223" s="14"/>
      <c r="C223" s="9" t="str">
        <f aca="false">IF(B223="","",IFERROR(INDEX(KOLs!$D$2:$D$300,MATCH(B223,KOLs!$A$2:$A$300,0)),"¿KOL no dado de alta?"))</f>
        <v/>
      </c>
      <c r="D223" s="15"/>
      <c r="E223" s="14"/>
      <c r="F223" s="14"/>
      <c r="G223" s="14"/>
      <c r="H223" s="14"/>
    </row>
    <row r="224" customFormat="false" ht="15" hidden="false" customHeight="false" outlineLevel="0" collapsed="false">
      <c r="A224" s="16"/>
      <c r="B224" s="14"/>
      <c r="C224" s="9" t="str">
        <f aca="false">IF(B224="","",IFERROR(INDEX(KOLs!$D$2:$D$300,MATCH(B224,KOLs!$A$2:$A$300,0)),"¿KOL no dado de alta?"))</f>
        <v/>
      </c>
      <c r="D224" s="15"/>
      <c r="E224" s="14"/>
      <c r="F224" s="14"/>
      <c r="G224" s="14"/>
      <c r="H224" s="14"/>
    </row>
    <row r="225" customFormat="false" ht="15" hidden="false" customHeight="false" outlineLevel="0" collapsed="false">
      <c r="A225" s="16"/>
      <c r="B225" s="14"/>
      <c r="C225" s="9" t="str">
        <f aca="false">IF(B225="","",IFERROR(INDEX(KOLs!$D$2:$D$300,MATCH(B225,KOLs!$A$2:$A$300,0)),"¿KOL no dado de alta?"))</f>
        <v/>
      </c>
      <c r="D225" s="15"/>
      <c r="E225" s="14"/>
      <c r="F225" s="14"/>
      <c r="G225" s="14"/>
      <c r="H225" s="14"/>
    </row>
    <row r="226" customFormat="false" ht="15" hidden="false" customHeight="false" outlineLevel="0" collapsed="false">
      <c r="A226" s="16"/>
      <c r="B226" s="14"/>
      <c r="C226" s="9" t="str">
        <f aca="false">IF(B226="","",IFERROR(INDEX(KOLs!$D$2:$D$300,MATCH(B226,KOLs!$A$2:$A$300,0)),"¿KOL no dado de alta?"))</f>
        <v/>
      </c>
      <c r="D226" s="15"/>
      <c r="E226" s="14"/>
      <c r="F226" s="14"/>
      <c r="G226" s="14"/>
      <c r="H226" s="14"/>
    </row>
    <row r="227" customFormat="false" ht="15" hidden="false" customHeight="false" outlineLevel="0" collapsed="false">
      <c r="A227" s="16"/>
      <c r="B227" s="14"/>
      <c r="C227" s="9" t="str">
        <f aca="false">IF(B227="","",IFERROR(INDEX(KOLs!$D$2:$D$300,MATCH(B227,KOLs!$A$2:$A$300,0)),"¿KOL no dado de alta?"))</f>
        <v/>
      </c>
      <c r="D227" s="15"/>
      <c r="E227" s="14"/>
      <c r="F227" s="14"/>
      <c r="G227" s="14"/>
      <c r="H227" s="14"/>
    </row>
    <row r="228" customFormat="false" ht="15" hidden="false" customHeight="false" outlineLevel="0" collapsed="false">
      <c r="A228" s="16"/>
      <c r="B228" s="14"/>
      <c r="C228" s="9" t="str">
        <f aca="false">IF(B228="","",IFERROR(INDEX(KOLs!$D$2:$D$300,MATCH(B228,KOLs!$A$2:$A$300,0)),"¿KOL no dado de alta?"))</f>
        <v/>
      </c>
      <c r="D228" s="15"/>
      <c r="E228" s="14"/>
      <c r="F228" s="14"/>
      <c r="G228" s="14"/>
      <c r="H228" s="14"/>
    </row>
    <row r="229" customFormat="false" ht="15" hidden="false" customHeight="false" outlineLevel="0" collapsed="false">
      <c r="A229" s="16"/>
      <c r="B229" s="14"/>
      <c r="C229" s="9" t="str">
        <f aca="false">IF(B229="","",IFERROR(INDEX(KOLs!$D$2:$D$300,MATCH(B229,KOLs!$A$2:$A$300,0)),"¿KOL no dado de alta?"))</f>
        <v/>
      </c>
      <c r="D229" s="15"/>
      <c r="E229" s="14"/>
      <c r="F229" s="14"/>
      <c r="G229" s="14"/>
      <c r="H229" s="14"/>
    </row>
    <row r="230" customFormat="false" ht="15" hidden="false" customHeight="false" outlineLevel="0" collapsed="false">
      <c r="A230" s="16"/>
      <c r="B230" s="14"/>
      <c r="C230" s="9" t="str">
        <f aca="false">IF(B230="","",IFERROR(INDEX(KOLs!$D$2:$D$300,MATCH(B230,KOLs!$A$2:$A$300,0)),"¿KOL no dado de alta?"))</f>
        <v/>
      </c>
      <c r="D230" s="15"/>
      <c r="E230" s="14"/>
      <c r="F230" s="14"/>
      <c r="G230" s="14"/>
      <c r="H230" s="14"/>
    </row>
    <row r="231" customFormat="false" ht="15" hidden="false" customHeight="false" outlineLevel="0" collapsed="false">
      <c r="A231" s="16"/>
      <c r="B231" s="14"/>
      <c r="C231" s="9" t="str">
        <f aca="false">IF(B231="","",IFERROR(INDEX(KOLs!$D$2:$D$300,MATCH(B231,KOLs!$A$2:$A$300,0)),"¿KOL no dado de alta?"))</f>
        <v/>
      </c>
      <c r="D231" s="15"/>
      <c r="E231" s="14"/>
      <c r="F231" s="14"/>
      <c r="G231" s="14"/>
      <c r="H231" s="14"/>
    </row>
    <row r="232" customFormat="false" ht="15" hidden="false" customHeight="false" outlineLevel="0" collapsed="false">
      <c r="A232" s="16"/>
      <c r="B232" s="14"/>
      <c r="C232" s="9" t="str">
        <f aca="false">IF(B232="","",IFERROR(INDEX(KOLs!$D$2:$D$300,MATCH(B232,KOLs!$A$2:$A$300,0)),"¿KOL no dado de alta?"))</f>
        <v/>
      </c>
      <c r="D232" s="15"/>
      <c r="E232" s="14"/>
      <c r="F232" s="14"/>
      <c r="G232" s="14"/>
      <c r="H232" s="14"/>
    </row>
    <row r="233" customFormat="false" ht="15" hidden="false" customHeight="false" outlineLevel="0" collapsed="false">
      <c r="A233" s="16"/>
      <c r="B233" s="14"/>
      <c r="C233" s="9" t="str">
        <f aca="false">IF(B233="","",IFERROR(INDEX(KOLs!$D$2:$D$300,MATCH(B233,KOLs!$A$2:$A$300,0)),"¿KOL no dado de alta?"))</f>
        <v/>
      </c>
      <c r="D233" s="15"/>
      <c r="E233" s="14"/>
      <c r="F233" s="14"/>
      <c r="G233" s="14"/>
      <c r="H233" s="14"/>
    </row>
    <row r="234" customFormat="false" ht="15" hidden="false" customHeight="false" outlineLevel="0" collapsed="false">
      <c r="A234" s="16"/>
      <c r="B234" s="14"/>
      <c r="C234" s="9" t="str">
        <f aca="false">IF(B234="","",IFERROR(INDEX(KOLs!$D$2:$D$300,MATCH(B234,KOLs!$A$2:$A$300,0)),"¿KOL no dado de alta?"))</f>
        <v/>
      </c>
      <c r="D234" s="15"/>
      <c r="E234" s="14"/>
      <c r="F234" s="14"/>
      <c r="G234" s="14"/>
      <c r="H234" s="14"/>
    </row>
    <row r="235" customFormat="false" ht="15" hidden="false" customHeight="false" outlineLevel="0" collapsed="false">
      <c r="A235" s="16"/>
      <c r="B235" s="14"/>
      <c r="C235" s="9" t="str">
        <f aca="false">IF(B235="","",IFERROR(INDEX(KOLs!$D$2:$D$300,MATCH(B235,KOLs!$A$2:$A$300,0)),"¿KOL no dado de alta?"))</f>
        <v/>
      </c>
      <c r="D235" s="15"/>
      <c r="E235" s="14"/>
      <c r="F235" s="14"/>
      <c r="G235" s="14"/>
      <c r="H235" s="14"/>
    </row>
    <row r="236" customFormat="false" ht="15" hidden="false" customHeight="false" outlineLevel="0" collapsed="false">
      <c r="A236" s="16"/>
      <c r="B236" s="14"/>
      <c r="C236" s="9" t="str">
        <f aca="false">IF(B236="","",IFERROR(INDEX(KOLs!$D$2:$D$300,MATCH(B236,KOLs!$A$2:$A$300,0)),"¿KOL no dado de alta?"))</f>
        <v/>
      </c>
      <c r="D236" s="15"/>
      <c r="E236" s="14"/>
      <c r="F236" s="14"/>
      <c r="G236" s="14"/>
      <c r="H236" s="14"/>
    </row>
    <row r="237" customFormat="false" ht="15" hidden="false" customHeight="false" outlineLevel="0" collapsed="false">
      <c r="A237" s="16"/>
      <c r="B237" s="14"/>
      <c r="C237" s="9" t="str">
        <f aca="false">IF(B237="","",IFERROR(INDEX(KOLs!$D$2:$D$300,MATCH(B237,KOLs!$A$2:$A$300,0)),"¿KOL no dado de alta?"))</f>
        <v/>
      </c>
      <c r="D237" s="15"/>
      <c r="E237" s="14"/>
      <c r="F237" s="14"/>
      <c r="G237" s="14"/>
      <c r="H237" s="14"/>
    </row>
    <row r="238" customFormat="false" ht="15" hidden="false" customHeight="false" outlineLevel="0" collapsed="false">
      <c r="A238" s="16"/>
      <c r="B238" s="14"/>
      <c r="C238" s="9" t="str">
        <f aca="false">IF(B238="","",IFERROR(INDEX(KOLs!$D$2:$D$300,MATCH(B238,KOLs!$A$2:$A$300,0)),"¿KOL no dado de alta?"))</f>
        <v/>
      </c>
      <c r="D238" s="15"/>
      <c r="E238" s="14"/>
      <c r="F238" s="14"/>
      <c r="G238" s="14"/>
      <c r="H238" s="14"/>
    </row>
    <row r="239" customFormat="false" ht="15" hidden="false" customHeight="false" outlineLevel="0" collapsed="false">
      <c r="A239" s="16"/>
      <c r="B239" s="14"/>
      <c r="C239" s="9" t="str">
        <f aca="false">IF(B239="","",IFERROR(INDEX(KOLs!$D$2:$D$300,MATCH(B239,KOLs!$A$2:$A$300,0)),"¿KOL no dado de alta?"))</f>
        <v/>
      </c>
      <c r="D239" s="15"/>
      <c r="E239" s="14"/>
      <c r="F239" s="14"/>
      <c r="G239" s="14"/>
      <c r="H239" s="14"/>
    </row>
    <row r="240" customFormat="false" ht="15" hidden="false" customHeight="false" outlineLevel="0" collapsed="false">
      <c r="A240" s="16"/>
      <c r="B240" s="14"/>
      <c r="C240" s="9" t="str">
        <f aca="false">IF(B240="","",IFERROR(INDEX(KOLs!$D$2:$D$300,MATCH(B240,KOLs!$A$2:$A$300,0)),"¿KOL no dado de alta?"))</f>
        <v/>
      </c>
      <c r="D240" s="15"/>
      <c r="E240" s="14"/>
      <c r="F240" s="14"/>
      <c r="G240" s="14"/>
      <c r="H240" s="14"/>
    </row>
    <row r="241" customFormat="false" ht="15" hidden="false" customHeight="false" outlineLevel="0" collapsed="false">
      <c r="A241" s="16"/>
      <c r="B241" s="14"/>
      <c r="C241" s="9" t="str">
        <f aca="false">IF(B241="","",IFERROR(INDEX(KOLs!$D$2:$D$300,MATCH(B241,KOLs!$A$2:$A$300,0)),"¿KOL no dado de alta?"))</f>
        <v/>
      </c>
      <c r="D241" s="15"/>
      <c r="E241" s="14"/>
      <c r="F241" s="14"/>
      <c r="G241" s="14"/>
      <c r="H241" s="14"/>
    </row>
    <row r="242" customFormat="false" ht="15" hidden="false" customHeight="false" outlineLevel="0" collapsed="false">
      <c r="A242" s="16"/>
      <c r="B242" s="14"/>
      <c r="C242" s="9" t="str">
        <f aca="false">IF(B242="","",IFERROR(INDEX(KOLs!$D$2:$D$300,MATCH(B242,KOLs!$A$2:$A$300,0)),"¿KOL no dado de alta?"))</f>
        <v/>
      </c>
      <c r="D242" s="15"/>
      <c r="E242" s="14"/>
      <c r="F242" s="14"/>
      <c r="G242" s="14"/>
      <c r="H242" s="14"/>
    </row>
    <row r="243" customFormat="false" ht="15" hidden="false" customHeight="false" outlineLevel="0" collapsed="false">
      <c r="A243" s="16"/>
      <c r="B243" s="14"/>
      <c r="C243" s="9" t="str">
        <f aca="false">IF(B243="","",IFERROR(INDEX(KOLs!$D$2:$D$300,MATCH(B243,KOLs!$A$2:$A$300,0)),"¿KOL no dado de alta?"))</f>
        <v/>
      </c>
      <c r="D243" s="15"/>
      <c r="E243" s="14"/>
      <c r="F243" s="14"/>
      <c r="G243" s="14"/>
      <c r="H243" s="14"/>
    </row>
    <row r="244" customFormat="false" ht="15" hidden="false" customHeight="false" outlineLevel="0" collapsed="false">
      <c r="A244" s="16"/>
      <c r="B244" s="14"/>
      <c r="C244" s="9" t="str">
        <f aca="false">IF(B244="","",IFERROR(INDEX(KOLs!$D$2:$D$300,MATCH(B244,KOLs!$A$2:$A$300,0)),"¿KOL no dado de alta?"))</f>
        <v/>
      </c>
      <c r="D244" s="15"/>
      <c r="E244" s="14"/>
      <c r="F244" s="14"/>
      <c r="G244" s="14"/>
      <c r="H244" s="14"/>
    </row>
    <row r="245" customFormat="false" ht="15" hidden="false" customHeight="false" outlineLevel="0" collapsed="false">
      <c r="A245" s="16"/>
      <c r="B245" s="14"/>
      <c r="C245" s="9" t="str">
        <f aca="false">IF(B245="","",IFERROR(INDEX(KOLs!$D$2:$D$300,MATCH(B245,KOLs!$A$2:$A$300,0)),"¿KOL no dado de alta?"))</f>
        <v/>
      </c>
      <c r="D245" s="15"/>
      <c r="E245" s="14"/>
      <c r="F245" s="14"/>
      <c r="G245" s="14"/>
      <c r="H245" s="14"/>
    </row>
    <row r="246" customFormat="false" ht="15" hidden="false" customHeight="false" outlineLevel="0" collapsed="false">
      <c r="A246" s="16"/>
      <c r="B246" s="14"/>
      <c r="C246" s="9" t="str">
        <f aca="false">IF(B246="","",IFERROR(INDEX(KOLs!$D$2:$D$300,MATCH(B246,KOLs!$A$2:$A$300,0)),"¿KOL no dado de alta?"))</f>
        <v/>
      </c>
      <c r="D246" s="15"/>
      <c r="E246" s="14"/>
      <c r="F246" s="14"/>
      <c r="G246" s="14"/>
      <c r="H246" s="14"/>
    </row>
    <row r="247" customFormat="false" ht="15" hidden="false" customHeight="false" outlineLevel="0" collapsed="false">
      <c r="A247" s="16"/>
      <c r="B247" s="14"/>
      <c r="C247" s="9" t="str">
        <f aca="false">IF(B247="","",IFERROR(INDEX(KOLs!$D$2:$D$300,MATCH(B247,KOLs!$A$2:$A$300,0)),"¿KOL no dado de alta?"))</f>
        <v/>
      </c>
      <c r="D247" s="15"/>
      <c r="E247" s="14"/>
      <c r="F247" s="14"/>
      <c r="G247" s="14"/>
      <c r="H247" s="14"/>
    </row>
    <row r="248" customFormat="false" ht="15" hidden="false" customHeight="false" outlineLevel="0" collapsed="false">
      <c r="A248" s="16"/>
      <c r="B248" s="14"/>
      <c r="C248" s="9" t="str">
        <f aca="false">IF(B248="","",IFERROR(INDEX(KOLs!$D$2:$D$300,MATCH(B248,KOLs!$A$2:$A$300,0)),"¿KOL no dado de alta?"))</f>
        <v/>
      </c>
      <c r="D248" s="15"/>
      <c r="E248" s="14"/>
      <c r="F248" s="14"/>
      <c r="G248" s="14"/>
      <c r="H248" s="14"/>
    </row>
    <row r="249" customFormat="false" ht="15" hidden="false" customHeight="false" outlineLevel="0" collapsed="false">
      <c r="A249" s="16"/>
      <c r="B249" s="14"/>
      <c r="C249" s="9" t="str">
        <f aca="false">IF(B249="","",IFERROR(INDEX(KOLs!$D$2:$D$300,MATCH(B249,KOLs!$A$2:$A$300,0)),"¿KOL no dado de alta?"))</f>
        <v/>
      </c>
      <c r="D249" s="15"/>
      <c r="E249" s="14"/>
      <c r="F249" s="14"/>
      <c r="G249" s="14"/>
      <c r="H249" s="14"/>
    </row>
    <row r="250" customFormat="false" ht="15" hidden="false" customHeight="false" outlineLevel="0" collapsed="false">
      <c r="A250" s="16"/>
      <c r="B250" s="14"/>
      <c r="C250" s="9" t="str">
        <f aca="false">IF(B250="","",IFERROR(INDEX(KOLs!$D$2:$D$300,MATCH(B250,KOLs!$A$2:$A$300,0)),"¿KOL no dado de alta?"))</f>
        <v/>
      </c>
      <c r="D250" s="15"/>
      <c r="E250" s="14"/>
      <c r="F250" s="14"/>
      <c r="G250" s="14"/>
      <c r="H250" s="14"/>
    </row>
    <row r="251" customFormat="false" ht="15" hidden="false" customHeight="false" outlineLevel="0" collapsed="false">
      <c r="A251" s="16"/>
      <c r="B251" s="14"/>
      <c r="C251" s="9" t="str">
        <f aca="false">IF(B251="","",IFERROR(INDEX(KOLs!$D$2:$D$300,MATCH(B251,KOLs!$A$2:$A$300,0)),"¿KOL no dado de alta?"))</f>
        <v/>
      </c>
      <c r="D251" s="15"/>
      <c r="E251" s="14"/>
      <c r="F251" s="14"/>
      <c r="G251" s="14"/>
      <c r="H251" s="14"/>
    </row>
    <row r="252" customFormat="false" ht="15" hidden="false" customHeight="false" outlineLevel="0" collapsed="false">
      <c r="A252" s="16"/>
      <c r="B252" s="14"/>
      <c r="C252" s="9" t="str">
        <f aca="false">IF(B252="","",IFERROR(INDEX(KOLs!$D$2:$D$300,MATCH(B252,KOLs!$A$2:$A$300,0)),"¿KOL no dado de alta?"))</f>
        <v/>
      </c>
      <c r="D252" s="15"/>
      <c r="E252" s="14"/>
      <c r="F252" s="14"/>
      <c r="G252" s="14"/>
      <c r="H252" s="14"/>
    </row>
    <row r="253" customFormat="false" ht="15" hidden="false" customHeight="false" outlineLevel="0" collapsed="false">
      <c r="A253" s="16"/>
      <c r="B253" s="14"/>
      <c r="C253" s="9" t="str">
        <f aca="false">IF(B253="","",IFERROR(INDEX(KOLs!$D$2:$D$300,MATCH(B253,KOLs!$A$2:$A$300,0)),"¿KOL no dado de alta?"))</f>
        <v/>
      </c>
      <c r="D253" s="15"/>
      <c r="E253" s="14"/>
      <c r="F253" s="14"/>
      <c r="G253" s="14"/>
      <c r="H253" s="14"/>
    </row>
    <row r="254" customFormat="false" ht="15" hidden="false" customHeight="false" outlineLevel="0" collapsed="false">
      <c r="A254" s="16"/>
      <c r="B254" s="14"/>
      <c r="C254" s="9" t="str">
        <f aca="false">IF(B254="","",IFERROR(INDEX(KOLs!$D$2:$D$300,MATCH(B254,KOLs!$A$2:$A$300,0)),"¿KOL no dado de alta?"))</f>
        <v/>
      </c>
      <c r="D254" s="15"/>
      <c r="E254" s="14"/>
      <c r="F254" s="14"/>
      <c r="G254" s="14"/>
      <c r="H254" s="14"/>
    </row>
    <row r="255" customFormat="false" ht="15" hidden="false" customHeight="false" outlineLevel="0" collapsed="false">
      <c r="A255" s="16"/>
      <c r="B255" s="14"/>
      <c r="C255" s="9" t="str">
        <f aca="false">IF(B255="","",IFERROR(INDEX(KOLs!$D$2:$D$300,MATCH(B255,KOLs!$A$2:$A$300,0)),"¿KOL no dado de alta?"))</f>
        <v/>
      </c>
      <c r="D255" s="15"/>
      <c r="E255" s="14"/>
      <c r="F255" s="14"/>
      <c r="G255" s="14"/>
      <c r="H255" s="14"/>
    </row>
    <row r="256" customFormat="false" ht="15" hidden="false" customHeight="false" outlineLevel="0" collapsed="false">
      <c r="A256" s="16"/>
      <c r="B256" s="14"/>
      <c r="C256" s="9" t="str">
        <f aca="false">IF(B256="","",IFERROR(INDEX(KOLs!$D$2:$D$300,MATCH(B256,KOLs!$A$2:$A$300,0)),"¿KOL no dado de alta?"))</f>
        <v/>
      </c>
      <c r="D256" s="15"/>
      <c r="E256" s="14"/>
      <c r="F256" s="14"/>
      <c r="G256" s="14"/>
      <c r="H256" s="14"/>
    </row>
    <row r="257" customFormat="false" ht="15" hidden="false" customHeight="false" outlineLevel="0" collapsed="false">
      <c r="A257" s="16"/>
      <c r="B257" s="14"/>
      <c r="C257" s="9" t="str">
        <f aca="false">IF(B257="","",IFERROR(INDEX(KOLs!$D$2:$D$300,MATCH(B257,KOLs!$A$2:$A$300,0)),"¿KOL no dado de alta?"))</f>
        <v/>
      </c>
      <c r="D257" s="15"/>
      <c r="E257" s="14"/>
      <c r="F257" s="14"/>
      <c r="G257" s="14"/>
      <c r="H257" s="14"/>
    </row>
    <row r="258" customFormat="false" ht="15" hidden="false" customHeight="false" outlineLevel="0" collapsed="false">
      <c r="A258" s="16"/>
      <c r="B258" s="14"/>
      <c r="C258" s="9" t="str">
        <f aca="false">IF(B258="","",IFERROR(INDEX(KOLs!$D$2:$D$300,MATCH(B258,KOLs!$A$2:$A$300,0)),"¿KOL no dado de alta?"))</f>
        <v/>
      </c>
      <c r="D258" s="15"/>
      <c r="E258" s="14"/>
      <c r="F258" s="14"/>
      <c r="G258" s="14"/>
      <c r="H258" s="14"/>
    </row>
    <row r="259" customFormat="false" ht="15" hidden="false" customHeight="false" outlineLevel="0" collapsed="false">
      <c r="A259" s="16"/>
      <c r="B259" s="14"/>
      <c r="C259" s="9" t="str">
        <f aca="false">IF(B259="","",IFERROR(INDEX(KOLs!$D$2:$D$300,MATCH(B259,KOLs!$A$2:$A$300,0)),"¿KOL no dado de alta?"))</f>
        <v/>
      </c>
      <c r="D259" s="15"/>
      <c r="E259" s="14"/>
      <c r="F259" s="14"/>
      <c r="G259" s="14"/>
      <c r="H259" s="14"/>
    </row>
    <row r="260" customFormat="false" ht="15" hidden="false" customHeight="false" outlineLevel="0" collapsed="false">
      <c r="A260" s="16"/>
      <c r="B260" s="14"/>
      <c r="C260" s="9" t="str">
        <f aca="false">IF(B260="","",IFERROR(INDEX(KOLs!$D$2:$D$300,MATCH(B260,KOLs!$A$2:$A$300,0)),"¿KOL no dado de alta?"))</f>
        <v/>
      </c>
      <c r="D260" s="15"/>
      <c r="E260" s="14"/>
      <c r="F260" s="14"/>
      <c r="G260" s="14"/>
      <c r="H260" s="14"/>
    </row>
    <row r="261" customFormat="false" ht="15" hidden="false" customHeight="false" outlineLevel="0" collapsed="false">
      <c r="A261" s="16"/>
      <c r="B261" s="14"/>
      <c r="C261" s="9" t="str">
        <f aca="false">IF(B261="","",IFERROR(INDEX(KOLs!$D$2:$D$300,MATCH(B261,KOLs!$A$2:$A$300,0)),"¿KOL no dado de alta?"))</f>
        <v/>
      </c>
      <c r="D261" s="15"/>
      <c r="E261" s="14"/>
      <c r="F261" s="14"/>
      <c r="G261" s="14"/>
      <c r="H261" s="14"/>
    </row>
    <row r="262" customFormat="false" ht="15" hidden="false" customHeight="false" outlineLevel="0" collapsed="false">
      <c r="A262" s="16"/>
      <c r="B262" s="14"/>
      <c r="C262" s="9" t="str">
        <f aca="false">IF(B262="","",IFERROR(INDEX(KOLs!$D$2:$D$300,MATCH(B262,KOLs!$A$2:$A$300,0)),"¿KOL no dado de alta?"))</f>
        <v/>
      </c>
      <c r="D262" s="15"/>
      <c r="E262" s="14"/>
      <c r="F262" s="14"/>
      <c r="G262" s="14"/>
      <c r="H262" s="14"/>
    </row>
    <row r="263" customFormat="false" ht="15" hidden="false" customHeight="false" outlineLevel="0" collapsed="false">
      <c r="A263" s="16"/>
      <c r="B263" s="14"/>
      <c r="C263" s="9" t="str">
        <f aca="false">IF(B263="","",IFERROR(INDEX(KOLs!$D$2:$D$300,MATCH(B263,KOLs!$A$2:$A$300,0)),"¿KOL no dado de alta?"))</f>
        <v/>
      </c>
      <c r="D263" s="15"/>
      <c r="E263" s="14"/>
      <c r="F263" s="14"/>
      <c r="G263" s="14"/>
      <c r="H263" s="14"/>
    </row>
    <row r="264" customFormat="false" ht="15" hidden="false" customHeight="false" outlineLevel="0" collapsed="false">
      <c r="A264" s="16"/>
      <c r="B264" s="14"/>
      <c r="C264" s="9" t="str">
        <f aca="false">IF(B264="","",IFERROR(INDEX(KOLs!$D$2:$D$300,MATCH(B264,KOLs!$A$2:$A$300,0)),"¿KOL no dado de alta?"))</f>
        <v/>
      </c>
      <c r="D264" s="15"/>
      <c r="E264" s="14"/>
      <c r="F264" s="14"/>
      <c r="G264" s="14"/>
      <c r="H264" s="14"/>
    </row>
    <row r="265" customFormat="false" ht="15" hidden="false" customHeight="false" outlineLevel="0" collapsed="false">
      <c r="A265" s="16"/>
      <c r="B265" s="14"/>
      <c r="C265" s="9" t="str">
        <f aca="false">IF(B265="","",IFERROR(INDEX(KOLs!$D$2:$D$300,MATCH(B265,KOLs!$A$2:$A$300,0)),"¿KOL no dado de alta?"))</f>
        <v/>
      </c>
      <c r="D265" s="15"/>
      <c r="E265" s="14"/>
      <c r="F265" s="14"/>
      <c r="G265" s="14"/>
      <c r="H265" s="14"/>
    </row>
    <row r="266" customFormat="false" ht="15" hidden="false" customHeight="false" outlineLevel="0" collapsed="false">
      <c r="A266" s="16"/>
      <c r="B266" s="14"/>
      <c r="C266" s="9" t="str">
        <f aca="false">IF(B266="","",IFERROR(INDEX(KOLs!$D$2:$D$300,MATCH(B266,KOLs!$A$2:$A$300,0)),"¿KOL no dado de alta?"))</f>
        <v/>
      </c>
      <c r="D266" s="15"/>
      <c r="E266" s="14"/>
      <c r="F266" s="14"/>
      <c r="G266" s="14"/>
      <c r="H266" s="14"/>
    </row>
    <row r="267" customFormat="false" ht="15" hidden="false" customHeight="false" outlineLevel="0" collapsed="false">
      <c r="A267" s="16"/>
      <c r="B267" s="14"/>
      <c r="C267" s="9" t="str">
        <f aca="false">IF(B267="","",IFERROR(INDEX(KOLs!$D$2:$D$300,MATCH(B267,KOLs!$A$2:$A$300,0)),"¿KOL no dado de alta?"))</f>
        <v/>
      </c>
      <c r="D267" s="15"/>
      <c r="E267" s="14"/>
      <c r="F267" s="14"/>
      <c r="G267" s="14"/>
      <c r="H267" s="14"/>
    </row>
    <row r="268" customFormat="false" ht="15" hidden="false" customHeight="false" outlineLevel="0" collapsed="false">
      <c r="A268" s="16"/>
      <c r="B268" s="14"/>
      <c r="C268" s="9" t="str">
        <f aca="false">IF(B268="","",IFERROR(INDEX(KOLs!$D$2:$D$300,MATCH(B268,KOLs!$A$2:$A$300,0)),"¿KOL no dado de alta?"))</f>
        <v/>
      </c>
      <c r="D268" s="15"/>
      <c r="E268" s="14"/>
      <c r="F268" s="14"/>
      <c r="G268" s="14"/>
      <c r="H268" s="14"/>
    </row>
    <row r="269" customFormat="false" ht="15" hidden="false" customHeight="false" outlineLevel="0" collapsed="false">
      <c r="A269" s="16"/>
      <c r="B269" s="14"/>
      <c r="C269" s="9" t="str">
        <f aca="false">IF(B269="","",IFERROR(INDEX(KOLs!$D$2:$D$300,MATCH(B269,KOLs!$A$2:$A$300,0)),"¿KOL no dado de alta?"))</f>
        <v/>
      </c>
      <c r="D269" s="15"/>
      <c r="E269" s="14"/>
      <c r="F269" s="14"/>
      <c r="G269" s="14"/>
      <c r="H269" s="14"/>
    </row>
    <row r="270" customFormat="false" ht="15" hidden="false" customHeight="false" outlineLevel="0" collapsed="false">
      <c r="A270" s="16"/>
      <c r="B270" s="14"/>
      <c r="C270" s="9" t="str">
        <f aca="false">IF(B270="","",IFERROR(INDEX(KOLs!$D$2:$D$300,MATCH(B270,KOLs!$A$2:$A$300,0)),"¿KOL no dado de alta?"))</f>
        <v/>
      </c>
      <c r="D270" s="15"/>
      <c r="E270" s="14"/>
      <c r="F270" s="14"/>
      <c r="G270" s="14"/>
      <c r="H270" s="14"/>
    </row>
    <row r="271" customFormat="false" ht="15" hidden="false" customHeight="false" outlineLevel="0" collapsed="false">
      <c r="A271" s="16"/>
      <c r="B271" s="14"/>
      <c r="C271" s="9" t="str">
        <f aca="false">IF(B271="","",IFERROR(INDEX(KOLs!$D$2:$D$300,MATCH(B271,KOLs!$A$2:$A$300,0)),"¿KOL no dado de alta?"))</f>
        <v/>
      </c>
      <c r="D271" s="15"/>
      <c r="E271" s="14"/>
      <c r="F271" s="14"/>
      <c r="G271" s="14"/>
      <c r="H271" s="14"/>
    </row>
    <row r="272" customFormat="false" ht="15" hidden="false" customHeight="false" outlineLevel="0" collapsed="false">
      <c r="A272" s="16"/>
      <c r="B272" s="14"/>
      <c r="C272" s="9" t="str">
        <f aca="false">IF(B272="","",IFERROR(INDEX(KOLs!$D$2:$D$300,MATCH(B272,KOLs!$A$2:$A$300,0)),"¿KOL no dado de alta?"))</f>
        <v/>
      </c>
      <c r="D272" s="15"/>
      <c r="E272" s="14"/>
      <c r="F272" s="14"/>
      <c r="G272" s="14"/>
      <c r="H272" s="14"/>
    </row>
    <row r="273" customFormat="false" ht="15" hidden="false" customHeight="false" outlineLevel="0" collapsed="false">
      <c r="A273" s="16"/>
      <c r="B273" s="14"/>
      <c r="C273" s="9" t="str">
        <f aca="false">IF(B273="","",IFERROR(INDEX(KOLs!$D$2:$D$300,MATCH(B273,KOLs!$A$2:$A$300,0)),"¿KOL no dado de alta?"))</f>
        <v/>
      </c>
      <c r="D273" s="15"/>
      <c r="E273" s="14"/>
      <c r="F273" s="14"/>
      <c r="G273" s="14"/>
      <c r="H273" s="14"/>
    </row>
    <row r="274" customFormat="false" ht="15" hidden="false" customHeight="false" outlineLevel="0" collapsed="false">
      <c r="A274" s="16"/>
      <c r="B274" s="14"/>
      <c r="C274" s="9" t="str">
        <f aca="false">IF(B274="","",IFERROR(INDEX(KOLs!$D$2:$D$300,MATCH(B274,KOLs!$A$2:$A$300,0)),"¿KOL no dado de alta?"))</f>
        <v/>
      </c>
      <c r="D274" s="15"/>
      <c r="E274" s="14"/>
      <c r="F274" s="14"/>
      <c r="G274" s="14"/>
      <c r="H274" s="14"/>
    </row>
    <row r="275" customFormat="false" ht="15" hidden="false" customHeight="false" outlineLevel="0" collapsed="false">
      <c r="A275" s="16"/>
      <c r="B275" s="14"/>
      <c r="C275" s="9" t="str">
        <f aca="false">IF(B275="","",IFERROR(INDEX(KOLs!$D$2:$D$300,MATCH(B275,KOLs!$A$2:$A$300,0)),"¿KOL no dado de alta?"))</f>
        <v/>
      </c>
      <c r="D275" s="15"/>
      <c r="E275" s="14"/>
      <c r="F275" s="14"/>
      <c r="G275" s="14"/>
      <c r="H275" s="14"/>
    </row>
    <row r="276" customFormat="false" ht="15" hidden="false" customHeight="false" outlineLevel="0" collapsed="false">
      <c r="A276" s="16"/>
      <c r="B276" s="14"/>
      <c r="C276" s="9" t="str">
        <f aca="false">IF(B276="","",IFERROR(INDEX(KOLs!$D$2:$D$300,MATCH(B276,KOLs!$A$2:$A$300,0)),"¿KOL no dado de alta?"))</f>
        <v/>
      </c>
      <c r="D276" s="15"/>
      <c r="E276" s="14"/>
      <c r="F276" s="14"/>
      <c r="G276" s="14"/>
      <c r="H276" s="14"/>
    </row>
    <row r="277" customFormat="false" ht="15" hidden="false" customHeight="false" outlineLevel="0" collapsed="false">
      <c r="A277" s="16"/>
      <c r="B277" s="14"/>
      <c r="C277" s="9" t="str">
        <f aca="false">IF(B277="","",IFERROR(INDEX(KOLs!$D$2:$D$300,MATCH(B277,KOLs!$A$2:$A$300,0)),"¿KOL no dado de alta?"))</f>
        <v/>
      </c>
      <c r="D277" s="15"/>
      <c r="E277" s="14"/>
      <c r="F277" s="14"/>
      <c r="G277" s="14"/>
      <c r="H277" s="14"/>
    </row>
    <row r="278" customFormat="false" ht="15" hidden="false" customHeight="false" outlineLevel="0" collapsed="false">
      <c r="A278" s="16"/>
      <c r="B278" s="14"/>
      <c r="C278" s="9" t="str">
        <f aca="false">IF(B278="","",IFERROR(INDEX(KOLs!$D$2:$D$300,MATCH(B278,KOLs!$A$2:$A$300,0)),"¿KOL no dado de alta?"))</f>
        <v/>
      </c>
      <c r="D278" s="15"/>
      <c r="E278" s="14"/>
      <c r="F278" s="14"/>
      <c r="G278" s="14"/>
      <c r="H278" s="14"/>
    </row>
    <row r="279" customFormat="false" ht="15" hidden="false" customHeight="false" outlineLevel="0" collapsed="false">
      <c r="A279" s="16"/>
      <c r="B279" s="14"/>
      <c r="C279" s="9" t="str">
        <f aca="false">IF(B279="","",IFERROR(INDEX(KOLs!$D$2:$D$300,MATCH(B279,KOLs!$A$2:$A$300,0)),"¿KOL no dado de alta?"))</f>
        <v/>
      </c>
      <c r="D279" s="15"/>
      <c r="E279" s="14"/>
      <c r="F279" s="14"/>
      <c r="G279" s="14"/>
      <c r="H279" s="14"/>
    </row>
    <row r="280" customFormat="false" ht="15" hidden="false" customHeight="false" outlineLevel="0" collapsed="false">
      <c r="A280" s="16"/>
      <c r="B280" s="14"/>
      <c r="C280" s="9" t="str">
        <f aca="false">IF(B280="","",IFERROR(INDEX(KOLs!$D$2:$D$300,MATCH(B280,KOLs!$A$2:$A$300,0)),"¿KOL no dado de alta?"))</f>
        <v/>
      </c>
      <c r="D280" s="15"/>
      <c r="E280" s="14"/>
      <c r="F280" s="14"/>
      <c r="G280" s="14"/>
      <c r="H280" s="14"/>
    </row>
    <row r="281" customFormat="false" ht="15" hidden="false" customHeight="false" outlineLevel="0" collapsed="false">
      <c r="A281" s="16"/>
      <c r="B281" s="14"/>
      <c r="C281" s="9" t="str">
        <f aca="false">IF(B281="","",IFERROR(INDEX(KOLs!$D$2:$D$300,MATCH(B281,KOLs!$A$2:$A$300,0)),"¿KOL no dado de alta?"))</f>
        <v/>
      </c>
      <c r="D281" s="15"/>
      <c r="E281" s="14"/>
      <c r="F281" s="14"/>
      <c r="G281" s="14"/>
      <c r="H281" s="14"/>
    </row>
    <row r="282" customFormat="false" ht="15" hidden="false" customHeight="false" outlineLevel="0" collapsed="false">
      <c r="A282" s="16"/>
      <c r="B282" s="14"/>
      <c r="C282" s="9" t="str">
        <f aca="false">IF(B282="","",IFERROR(INDEX(KOLs!$D$2:$D$300,MATCH(B282,KOLs!$A$2:$A$300,0)),"¿KOL no dado de alta?"))</f>
        <v/>
      </c>
      <c r="D282" s="15"/>
      <c r="E282" s="14"/>
      <c r="F282" s="14"/>
      <c r="G282" s="14"/>
      <c r="H282" s="14"/>
    </row>
    <row r="283" customFormat="false" ht="15" hidden="false" customHeight="false" outlineLevel="0" collapsed="false">
      <c r="A283" s="16"/>
      <c r="B283" s="14"/>
      <c r="C283" s="9" t="str">
        <f aca="false">IF(B283="","",IFERROR(INDEX(KOLs!$D$2:$D$300,MATCH(B283,KOLs!$A$2:$A$300,0)),"¿KOL no dado de alta?"))</f>
        <v/>
      </c>
      <c r="D283" s="15"/>
      <c r="E283" s="14"/>
      <c r="F283" s="14"/>
      <c r="G283" s="14"/>
      <c r="H283" s="14"/>
    </row>
    <row r="284" customFormat="false" ht="15" hidden="false" customHeight="false" outlineLevel="0" collapsed="false">
      <c r="A284" s="16"/>
      <c r="B284" s="14"/>
      <c r="C284" s="9" t="str">
        <f aca="false">IF(B284="","",IFERROR(INDEX(KOLs!$D$2:$D$300,MATCH(B284,KOLs!$A$2:$A$300,0)),"¿KOL no dado de alta?"))</f>
        <v/>
      </c>
      <c r="D284" s="15"/>
      <c r="E284" s="14"/>
      <c r="F284" s="14"/>
      <c r="G284" s="14"/>
      <c r="H284" s="14"/>
    </row>
    <row r="285" customFormat="false" ht="15" hidden="false" customHeight="false" outlineLevel="0" collapsed="false">
      <c r="A285" s="16"/>
      <c r="B285" s="14"/>
      <c r="C285" s="9" t="str">
        <f aca="false">IF(B285="","",IFERROR(INDEX(KOLs!$D$2:$D$300,MATCH(B285,KOLs!$A$2:$A$300,0)),"¿KOL no dado de alta?"))</f>
        <v/>
      </c>
      <c r="D285" s="15"/>
      <c r="E285" s="14"/>
      <c r="F285" s="14"/>
      <c r="G285" s="14"/>
      <c r="H285" s="14"/>
    </row>
    <row r="286" customFormat="false" ht="15" hidden="false" customHeight="false" outlineLevel="0" collapsed="false">
      <c r="A286" s="16"/>
      <c r="B286" s="14"/>
      <c r="C286" s="9" t="str">
        <f aca="false">IF(B286="","",IFERROR(INDEX(KOLs!$D$2:$D$300,MATCH(B286,KOLs!$A$2:$A$300,0)),"¿KOL no dado de alta?"))</f>
        <v/>
      </c>
      <c r="D286" s="15"/>
      <c r="E286" s="14"/>
      <c r="F286" s="14"/>
      <c r="G286" s="14"/>
      <c r="H286" s="14"/>
    </row>
    <row r="287" customFormat="false" ht="15" hidden="false" customHeight="false" outlineLevel="0" collapsed="false">
      <c r="A287" s="16"/>
      <c r="B287" s="14"/>
      <c r="C287" s="9" t="str">
        <f aca="false">IF(B287="","",IFERROR(INDEX(KOLs!$D$2:$D$300,MATCH(B287,KOLs!$A$2:$A$300,0)),"¿KOL no dado de alta?"))</f>
        <v/>
      </c>
      <c r="D287" s="15"/>
      <c r="E287" s="14"/>
      <c r="F287" s="14"/>
      <c r="G287" s="14"/>
      <c r="H287" s="14"/>
    </row>
    <row r="288" customFormat="false" ht="15" hidden="false" customHeight="false" outlineLevel="0" collapsed="false">
      <c r="A288" s="16"/>
      <c r="B288" s="14"/>
      <c r="C288" s="9" t="str">
        <f aca="false">IF(B288="","",IFERROR(INDEX(KOLs!$D$2:$D$300,MATCH(B288,KOLs!$A$2:$A$300,0)),"¿KOL no dado de alta?"))</f>
        <v/>
      </c>
      <c r="D288" s="15"/>
      <c r="E288" s="14"/>
      <c r="F288" s="14"/>
      <c r="G288" s="14"/>
      <c r="H288" s="14"/>
    </row>
    <row r="289" customFormat="false" ht="15" hidden="false" customHeight="false" outlineLevel="0" collapsed="false">
      <c r="A289" s="16"/>
      <c r="B289" s="14"/>
      <c r="C289" s="9" t="str">
        <f aca="false">IF(B289="","",IFERROR(INDEX(KOLs!$D$2:$D$300,MATCH(B289,KOLs!$A$2:$A$300,0)),"¿KOL no dado de alta?"))</f>
        <v/>
      </c>
      <c r="D289" s="15"/>
      <c r="E289" s="14"/>
      <c r="F289" s="14"/>
      <c r="G289" s="14"/>
      <c r="H289" s="14"/>
    </row>
    <row r="290" customFormat="false" ht="15" hidden="false" customHeight="false" outlineLevel="0" collapsed="false">
      <c r="A290" s="16"/>
      <c r="B290" s="14"/>
      <c r="C290" s="9" t="str">
        <f aca="false">IF(B290="","",IFERROR(INDEX(KOLs!$D$2:$D$300,MATCH(B290,KOLs!$A$2:$A$300,0)),"¿KOL no dado de alta?"))</f>
        <v/>
      </c>
      <c r="D290" s="15"/>
      <c r="E290" s="14"/>
      <c r="F290" s="14"/>
      <c r="G290" s="14"/>
      <c r="H290" s="14"/>
    </row>
    <row r="291" customFormat="false" ht="15" hidden="false" customHeight="false" outlineLevel="0" collapsed="false">
      <c r="A291" s="16"/>
      <c r="B291" s="14"/>
      <c r="C291" s="9" t="str">
        <f aca="false">IF(B291="","",IFERROR(INDEX(KOLs!$D$2:$D$300,MATCH(B291,KOLs!$A$2:$A$300,0)),"¿KOL no dado de alta?"))</f>
        <v/>
      </c>
      <c r="D291" s="15"/>
      <c r="E291" s="14"/>
      <c r="F291" s="14"/>
      <c r="G291" s="14"/>
      <c r="H291" s="14"/>
    </row>
    <row r="292" customFormat="false" ht="15" hidden="false" customHeight="false" outlineLevel="0" collapsed="false">
      <c r="A292" s="16"/>
      <c r="B292" s="14"/>
      <c r="C292" s="9" t="str">
        <f aca="false">IF(B292="","",IFERROR(INDEX(KOLs!$D$2:$D$300,MATCH(B292,KOLs!$A$2:$A$300,0)),"¿KOL no dado de alta?"))</f>
        <v/>
      </c>
      <c r="D292" s="15"/>
      <c r="E292" s="14"/>
      <c r="F292" s="14"/>
      <c r="G292" s="14"/>
      <c r="H292" s="14"/>
    </row>
    <row r="293" customFormat="false" ht="15" hidden="false" customHeight="false" outlineLevel="0" collapsed="false">
      <c r="A293" s="16"/>
      <c r="B293" s="14"/>
      <c r="C293" s="9" t="str">
        <f aca="false">IF(B293="","",IFERROR(INDEX(KOLs!$D$2:$D$300,MATCH(B293,KOLs!$A$2:$A$300,0)),"¿KOL no dado de alta?"))</f>
        <v/>
      </c>
      <c r="D293" s="15"/>
      <c r="E293" s="14"/>
      <c r="F293" s="14"/>
      <c r="G293" s="14"/>
      <c r="H293" s="14"/>
    </row>
    <row r="294" customFormat="false" ht="15" hidden="false" customHeight="false" outlineLevel="0" collapsed="false">
      <c r="A294" s="16"/>
      <c r="B294" s="14"/>
      <c r="C294" s="9" t="str">
        <f aca="false">IF(B294="","",IFERROR(INDEX(KOLs!$D$2:$D$300,MATCH(B294,KOLs!$A$2:$A$300,0)),"¿KOL no dado de alta?"))</f>
        <v/>
      </c>
      <c r="D294" s="15"/>
      <c r="E294" s="14"/>
      <c r="F294" s="14"/>
      <c r="G294" s="14"/>
      <c r="H294" s="14"/>
    </row>
    <row r="295" customFormat="false" ht="15" hidden="false" customHeight="false" outlineLevel="0" collapsed="false">
      <c r="A295" s="16"/>
      <c r="B295" s="14"/>
      <c r="C295" s="9" t="str">
        <f aca="false">IF(B295="","",IFERROR(INDEX(KOLs!$D$2:$D$300,MATCH(B295,KOLs!$A$2:$A$300,0)),"¿KOL no dado de alta?"))</f>
        <v/>
      </c>
      <c r="D295" s="15"/>
      <c r="E295" s="14"/>
      <c r="F295" s="14"/>
      <c r="G295" s="14"/>
      <c r="H295" s="14"/>
    </row>
    <row r="296" customFormat="false" ht="15" hidden="false" customHeight="false" outlineLevel="0" collapsed="false">
      <c r="A296" s="16"/>
      <c r="B296" s="14"/>
      <c r="C296" s="9" t="str">
        <f aca="false">IF(B296="","",IFERROR(INDEX(KOLs!$D$2:$D$300,MATCH(B296,KOLs!$A$2:$A$300,0)),"¿KOL no dado de alta?"))</f>
        <v/>
      </c>
      <c r="D296" s="15"/>
      <c r="E296" s="14"/>
      <c r="F296" s="14"/>
      <c r="G296" s="14"/>
      <c r="H296" s="14"/>
    </row>
    <row r="297" customFormat="false" ht="15" hidden="false" customHeight="false" outlineLevel="0" collapsed="false">
      <c r="A297" s="16"/>
      <c r="B297" s="14"/>
      <c r="C297" s="9" t="str">
        <f aca="false">IF(B297="","",IFERROR(INDEX(KOLs!$D$2:$D$300,MATCH(B297,KOLs!$A$2:$A$300,0)),"¿KOL no dado de alta?"))</f>
        <v/>
      </c>
      <c r="D297" s="15"/>
      <c r="E297" s="14"/>
      <c r="F297" s="14"/>
      <c r="G297" s="14"/>
      <c r="H297" s="14"/>
    </row>
    <row r="298" customFormat="false" ht="15" hidden="false" customHeight="false" outlineLevel="0" collapsed="false">
      <c r="A298" s="16"/>
      <c r="B298" s="14"/>
      <c r="C298" s="9" t="str">
        <f aca="false">IF(B298="","",IFERROR(INDEX(KOLs!$D$2:$D$300,MATCH(B298,KOLs!$A$2:$A$300,0)),"¿KOL no dado de alta?"))</f>
        <v/>
      </c>
      <c r="D298" s="15"/>
      <c r="E298" s="14"/>
      <c r="F298" s="14"/>
      <c r="G298" s="14"/>
      <c r="H298" s="14"/>
    </row>
    <row r="299" customFormat="false" ht="15" hidden="false" customHeight="false" outlineLevel="0" collapsed="false">
      <c r="A299" s="16"/>
      <c r="B299" s="14"/>
      <c r="C299" s="9" t="str">
        <f aca="false">IF(B299="","",IFERROR(INDEX(KOLs!$D$2:$D$300,MATCH(B299,KOLs!$A$2:$A$300,0)),"¿KOL no dado de alta?"))</f>
        <v/>
      </c>
      <c r="D299" s="15"/>
      <c r="E299" s="14"/>
      <c r="F299" s="14"/>
      <c r="G299" s="14"/>
      <c r="H299" s="14"/>
    </row>
    <row r="300" customFormat="false" ht="15" hidden="false" customHeight="false" outlineLevel="0" collapsed="false">
      <c r="A300" s="16"/>
      <c r="B300" s="14"/>
      <c r="C300" s="9" t="str">
        <f aca="false">IF(B300="","",IFERROR(INDEX(KOLs!$D$2:$D$300,MATCH(B300,KOLs!$A$2:$A$300,0)),"¿KOL no dado de alta?"))</f>
        <v/>
      </c>
      <c r="D300" s="15"/>
      <c r="E300" s="14"/>
      <c r="F300" s="14"/>
      <c r="G300" s="14"/>
      <c r="H300" s="14"/>
    </row>
  </sheetData>
  <dataValidations count="2">
    <dataValidation allowBlank="true" errorStyle="stop" operator="between" showDropDown="false" showErrorMessage="false" showInputMessage="false" sqref="B2:B300" type="list">
      <formula1>KOLNombres</formula1>
      <formula2>0</formula2>
    </dataValidation>
    <dataValidation allowBlank="true" errorStyle="stop" operator="between" showDropDown="false" showErrorMessage="false" showInputMessage="false" sqref="F2:F300" type="list">
      <formula1>"Pagado,Pendiente"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2026-07-27T20:01:37Z</dcterms:created>
  <dc:creator>openpyxl</dc:creator>
  <dc:description/>
  <dc:language>en-US</dc:language>
  <cp:lastModifiedBy/>
  <dcterms:modified xsi:type="dcterms:W3CDTF">2026-07-27T20:01:38Z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