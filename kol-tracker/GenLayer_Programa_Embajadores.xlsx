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guimi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<sst xmlns="http://schemas.openxmlformats.org/spreadsheetml/2006/main" count="65" uniqueCount="64">
  <si>
    <t xml:space="preserve">GenLayer — Programa de Embajadores</t>
  </si>
  <si>
    <t xml:space="preserve">10 posts por embajador en 10 semanas (03/08/2026 – 11/10/2026)</t>
  </si>
  <si>
    <t xml:space="preserve">Presupuesto</t>
  </si>
  <si>
    <t xml:space="preserve">Budget aprobado ($)</t>
  </si>
  <si>
    <t xml:space="preserve">Comprometido con KOLs ($)</t>
  </si>
  <si>
    <t xml:space="preserve">Margen vs budget ($)</t>
  </si>
  <si>
    <t xml:space="preserve">Devengado a hoy ($)</t>
  </si>
  <si>
    <t xml:space="preserve">Pagado ($)</t>
  </si>
  <si>
    <t xml:space="preserve">Pendiente de pago ($)</t>
  </si>
  <si>
    <t xml:space="preserve">⚠ Ojo: lo comprometido ($13.500) supera el budget ($12.000) en $1.500 — @Zaimiri va a $2.500.</t>
  </si>
  <si>
    <t xml:space="preserve">Progreso de contenido</t>
  </si>
  <si>
    <t xml:space="preserve">Embajadores</t>
  </si>
  <si>
    <t xml:space="preserve">Posts objetivo</t>
  </si>
  <si>
    <t xml:space="preserve">Posts entregados</t>
  </si>
  <si>
    <t xml:space="preserve">Progreso</t>
  </si>
  <si>
    <t xml:space="preserve">Cómo se usa</t>
  </si>
  <si>
    <t xml:space="preserve">• Cada semana, pega el link del post de cada embajador en su celda (hoja 'Seguimiento').</t>
  </si>
  <si>
    <t xml:space="preserve">• 'Posts' y '% del objetivo' se calculan solos contando las celdas con link.</t>
  </si>
  <si>
    <t xml:space="preserve">• 'Devengado' = tarifa × posts/10 (lo ganado hasta ahora). Cuando pagues, apunta el importe en 'Pagado ($)'.</t>
  </si>
  <si>
    <t xml:space="preserve">• Celdas amarillas = se rellenan a mano. Lo demás son fórmulas, no tocar.</t>
  </si>
  <si>
    <t xml:space="preserve">Seguimiento semanal — pega el link del post en la celda de su semana</t>
  </si>
  <si>
    <t xml:space="preserve">#</t>
  </si>
  <si>
    <t xml:space="preserve">KOL</t>
  </si>
  <si>
    <t xml:space="preserve">Perfil X</t>
  </si>
  <si>
    <t xml:space="preserve">Tarifa ($)</t>
  </si>
  <si>
    <t xml:space="preserve">S1
3 ago</t>
  </si>
  <si>
    <t xml:space="preserve">S2
10 ago</t>
  </si>
  <si>
    <t xml:space="preserve">S3
17 ago</t>
  </si>
  <si>
    <t xml:space="preserve">S4
24 ago</t>
  </si>
  <si>
    <t xml:space="preserve">S5
31 ago</t>
  </si>
  <si>
    <t xml:space="preserve">S6
7 sep</t>
  </si>
  <si>
    <t xml:space="preserve">S7
14 sep</t>
  </si>
  <si>
    <t xml:space="preserve">S8
21 sep</t>
  </si>
  <si>
    <t xml:space="preserve">S9
28 sep</t>
  </si>
  <si>
    <t xml:space="preserve">S10
5 oct</t>
  </si>
  <si>
    <t xml:space="preserve">Posts</t>
  </si>
  <si>
    <t xml:space="preserve">% del objetivo</t>
  </si>
  <si>
    <t xml:space="preserve">Devengado ($)</t>
  </si>
  <si>
    <t xml:space="preserve">Pendiente ($)</t>
  </si>
  <si>
    <t xml:space="preserve">@Gujjuiixi</t>
  </si>
  <si>
    <t xml:space="preserve">https://x.com/Gujjuiixi</t>
  </si>
  <si>
    <t xml:space="preserve">@Rakib_web3</t>
  </si>
  <si>
    <t xml:space="preserve">https://x.com/Rakib_web3</t>
  </si>
  <si>
    <t xml:space="preserve">@Notjazii</t>
  </si>
  <si>
    <t xml:space="preserve">https://x.com/Notjazii</t>
  </si>
  <si>
    <t xml:space="preserve">@Hasantoxr</t>
  </si>
  <si>
    <t xml:space="preserve">https://x.com/Hasantoxr</t>
  </si>
  <si>
    <t xml:space="preserve">@Tuge8888</t>
  </si>
  <si>
    <t xml:space="preserve">https://x.com/Tuge8888</t>
  </si>
  <si>
    <t xml:space="preserve">@Alphabatcher</t>
  </si>
  <si>
    <t xml:space="preserve">https://x.com/Alphabatcher</t>
  </si>
  <si>
    <t xml:space="preserve">@Zijing</t>
  </si>
  <si>
    <t xml:space="preserve">https://x.com/Zijing</t>
  </si>
  <si>
    <t xml:space="preserve">@Zaimiri</t>
  </si>
  <si>
    <t xml:space="preserve">https://x.com/Zaimiri</t>
  </si>
  <si>
    <t xml:space="preserve">@Afrochicksnft</t>
  </si>
  <si>
    <t xml:space="preserve">https://x.com/Afrochicksnft</t>
  </si>
  <si>
    <t xml:space="preserve">@MrTimister</t>
  </si>
  <si>
    <t xml:space="preserve">https://x.com/MrTimister</t>
  </si>
  <si>
    <t xml:space="preserve">@Horkays</t>
  </si>
  <si>
    <t xml:space="preserve">https://x.com/Horkays</t>
  </si>
  <si>
    <t xml:space="preserve">@jgonzalezferrer</t>
  </si>
  <si>
    <t xml:space="preserve">https://x.com/jgonzalezferrer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</si>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</sst>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($&quot;#,##0\);\-"/>
    <numFmt numFmtId="166" formatCode="#,##0;\(#,##0\);\-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6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12000</v>
      </c>
    </row>
    <row r="7" customFormat="false" ht="15" hidden="false" customHeight="false" outlineLevel="0" collapsed="false">
      <c r="B7" s="4" t="s">
        <v>4</v>
      </c>
      <c r="C7" s="6" t="n">
        <f aca="false">Seguimiento!D16</f>
        <v>13500</v>
      </c>
    </row>
    <row r="8" customFormat="false" ht="15" hidden="false" customHeight="false" outlineLevel="0" collapsed="false">
      <c r="B8" s="4" t="s">
        <v>5</v>
      </c>
      <c r="C8" s="6" t="n">
        <f aca="false">C6-C7</f>
        <v>-1500</v>
      </c>
    </row>
    <row r="9" customFormat="false" ht="15" hidden="false" customHeight="false" outlineLevel="0" collapsed="false">
      <c r="B9" s="4" t="s">
        <v>6</v>
      </c>
      <c r="C9" s="6" t="n">
        <f aca="false">Seguimiento!Q16</f>
        <v>0</v>
      </c>
    </row>
    <row r="10" customFormat="false" ht="15" hidden="false" customHeight="false" outlineLevel="0" collapsed="false">
      <c r="B10" s="4" t="s">
        <v>7</v>
      </c>
      <c r="C10" s="6" t="n">
        <f aca="false">Seguimiento!R16</f>
        <v>0</v>
      </c>
    </row>
    <row r="11" customFormat="false" ht="15" hidden="false" customHeight="false" outlineLevel="0" collapsed="false">
      <c r="B11" s="4" t="s">
        <v>8</v>
      </c>
      <c r="C11" s="6" t="n">
        <f aca="false">Seguimiento!S16</f>
        <v>0</v>
      </c>
    </row>
    <row r="13" customFormat="false" ht="15" hidden="false" customHeight="false" outlineLevel="0" collapsed="false">
      <c r="B13" s="7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  <c r="C16" s="8" t="n">
        <v>12</v>
      </c>
    </row>
    <row r="17" customFormat="false" ht="15" hidden="false" customHeight="false" outlineLevel="0" collapsed="false">
      <c r="B17" s="4" t="s">
        <v>12</v>
      </c>
      <c r="C17" s="8" t="n">
        <v>120</v>
      </c>
    </row>
    <row r="18" customFormat="false" ht="15" hidden="false" customHeight="false" outlineLevel="0" collapsed="false">
      <c r="B18" s="4" t="s">
        <v>13</v>
      </c>
      <c r="C18" s="8" t="n">
        <f aca="false">Seguimiento!O16</f>
        <v>0</v>
      </c>
    </row>
    <row r="19" customFormat="false" ht="15" hidden="false" customHeight="false" outlineLevel="0" collapsed="false">
      <c r="B19" s="4" t="s">
        <v>14</v>
      </c>
      <c r="C19" s="9" t="n">
        <f aca="false">C18/C17</f>
        <v>0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10" t="s">
        <v>16</v>
      </c>
    </row>
    <row r="23" customFormat="false" ht="15" hidden="false" customHeight="false" outlineLevel="0" collapsed="false">
      <c r="B23" s="10" t="s">
        <v>17</v>
      </c>
    </row>
    <row r="24" customFormat="false" ht="15" hidden="false" customHeight="false" outlineLevel="0" collapsed="false">
      <c r="B24" s="10" t="s">
        <v>18</v>
      </c>
    </row>
    <row r="25" customFormat="false" ht="15" hidden="false" customHeight="false" outlineLevel="0" collapsed="false">
      <c r="B25" s="1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14" min="5" style="0" width="14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</cols>
  <sheetData>
    <row r="1" customFormat="false" ht="15" hidden="false" customHeight="false" outlineLevel="0" collapsed="false">
      <c r="A1" s="3" t="s">
        <v>20</v>
      </c>
    </row>
    <row r="3" customFormat="false" ht="27.75" hidden="false" customHeight="true" outlineLevel="0" collapsed="false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32</v>
      </c>
      <c r="M3" s="11" t="s">
        <v>33</v>
      </c>
      <c r="N3" s="11" t="s">
        <v>34</v>
      </c>
      <c r="O3" s="11" t="s">
        <v>35</v>
      </c>
      <c r="P3" s="11" t="s">
        <v>36</v>
      </c>
      <c r="Q3" s="11" t="s">
        <v>37</v>
      </c>
      <c r="R3" s="11" t="s">
        <v>7</v>
      </c>
      <c r="S3" s="11" t="s">
        <v>38</v>
      </c>
    </row>
    <row r="4" customFormat="false" ht="15" hidden="false" customHeight="false" outlineLevel="0" collapsed="false">
      <c r="A4" s="12" t="n">
        <v>1</v>
      </c>
      <c r="B4" s="13" t="s">
        <v>39</v>
      </c>
      <c r="C4" s="13" t="s">
        <v>40</v>
      </c>
      <c r="D4" s="14" t="n">
        <v>1000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6" t="n">
        <f aca="false">COUNTA(E4:N4)</f>
        <v>0</v>
      </c>
      <c r="P4" s="17" t="n">
        <f aca="false">O4/10</f>
        <v>0</v>
      </c>
      <c r="Q4" s="18" t="n">
        <f aca="false">D4*O4/10</f>
        <v>0</v>
      </c>
      <c r="R4" s="19"/>
      <c r="S4" s="18" t="n">
        <f aca="false">Q4-R4</f>
        <v>0</v>
      </c>
    </row>
    <row r="5" customFormat="false" ht="15" hidden="false" customHeight="false" outlineLevel="0" collapsed="false">
      <c r="A5" s="12" t="n">
        <v>2</v>
      </c>
      <c r="B5" s="13" t="s">
        <v>41</v>
      </c>
      <c r="C5" s="13" t="s">
        <v>42</v>
      </c>
      <c r="D5" s="14" t="n">
        <v>1000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6" t="n">
        <f aca="false">COUNTA(E5:N5)</f>
        <v>0</v>
      </c>
      <c r="P5" s="17" t="n">
        <f aca="false">O5/10</f>
        <v>0</v>
      </c>
      <c r="Q5" s="18" t="n">
        <f aca="false">D5*O5/10</f>
        <v>0</v>
      </c>
      <c r="R5" s="19"/>
      <c r="S5" s="18" t="n">
        <f aca="false">Q5-R5</f>
        <v>0</v>
      </c>
    </row>
    <row r="6" customFormat="false" ht="15" hidden="false" customHeight="false" outlineLevel="0" collapsed="false">
      <c r="A6" s="12" t="n">
        <v>3</v>
      </c>
      <c r="B6" s="13" t="s">
        <v>43</v>
      </c>
      <c r="C6" s="13" t="s">
        <v>44</v>
      </c>
      <c r="D6" s="14" t="n">
        <v>1000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6" t="n">
        <f aca="false">COUNTA(E6:N6)</f>
        <v>0</v>
      </c>
      <c r="P6" s="17" t="n">
        <f aca="false">O6/10</f>
        <v>0</v>
      </c>
      <c r="Q6" s="18" t="n">
        <f aca="false">D6*O6/10</f>
        <v>0</v>
      </c>
      <c r="R6" s="19"/>
      <c r="S6" s="18" t="n">
        <f aca="false">Q6-R6</f>
        <v>0</v>
      </c>
    </row>
    <row r="7" customFormat="false" ht="15" hidden="false" customHeight="false" outlineLevel="0" collapsed="false">
      <c r="A7" s="12" t="n">
        <v>4</v>
      </c>
      <c r="B7" s="13" t="s">
        <v>45</v>
      </c>
      <c r="C7" s="13" t="s">
        <v>46</v>
      </c>
      <c r="D7" s="14" t="n">
        <v>1000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6" t="n">
        <f aca="false">COUNTA(E7:N7)</f>
        <v>0</v>
      </c>
      <c r="P7" s="17" t="n">
        <f aca="false">O7/10</f>
        <v>0</v>
      </c>
      <c r="Q7" s="18" t="n">
        <f aca="false">D7*O7/10</f>
        <v>0</v>
      </c>
      <c r="R7" s="19"/>
      <c r="S7" s="18" t="n">
        <f aca="false">Q7-R7</f>
        <v>0</v>
      </c>
    </row>
    <row r="8" customFormat="false" ht="15" hidden="false" customHeight="false" outlineLevel="0" collapsed="false">
      <c r="A8" s="12" t="n">
        <v>5</v>
      </c>
      <c r="B8" s="13" t="s">
        <v>47</v>
      </c>
      <c r="C8" s="13" t="s">
        <v>48</v>
      </c>
      <c r="D8" s="14" t="n">
        <v>1000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6" t="n">
        <f aca="false">COUNTA(E8:N8)</f>
        <v>0</v>
      </c>
      <c r="P8" s="17" t="n">
        <f aca="false">O8/10</f>
        <v>0</v>
      </c>
      <c r="Q8" s="18" t="n">
        <f aca="false">D8*O8/10</f>
        <v>0</v>
      </c>
      <c r="R8" s="19"/>
      <c r="S8" s="18" t="n">
        <f aca="false">Q8-R8</f>
        <v>0</v>
      </c>
    </row>
    <row r="9" customFormat="false" ht="15" hidden="false" customHeight="false" outlineLevel="0" collapsed="false">
      <c r="A9" s="12" t="n">
        <v>6</v>
      </c>
      <c r="B9" s="13" t="s">
        <v>49</v>
      </c>
      <c r="C9" s="13" t="s">
        <v>50</v>
      </c>
      <c r="D9" s="14" t="n">
        <v>1000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6" t="n">
        <f aca="false">COUNTA(E9:N9)</f>
        <v>0</v>
      </c>
      <c r="P9" s="17" t="n">
        <f aca="false">O9/10</f>
        <v>0</v>
      </c>
      <c r="Q9" s="18" t="n">
        <f aca="false">D9*O9/10</f>
        <v>0</v>
      </c>
      <c r="R9" s="19"/>
      <c r="S9" s="18" t="n">
        <f aca="false">Q9-R9</f>
        <v>0</v>
      </c>
    </row>
    <row r="10" customFormat="false" ht="15" hidden="false" customHeight="false" outlineLevel="0" collapsed="false">
      <c r="A10" s="12" t="n">
        <v>7</v>
      </c>
      <c r="B10" s="13" t="s">
        <v>51</v>
      </c>
      <c r="C10" s="13" t="s">
        <v>52</v>
      </c>
      <c r="D10" s="14" t="n">
        <v>1000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 t="n">
        <f aca="false">COUNTA(E10:N10)</f>
        <v>0</v>
      </c>
      <c r="P10" s="17" t="n">
        <f aca="false">O10/10</f>
        <v>0</v>
      </c>
      <c r="Q10" s="18" t="n">
        <f aca="false">D10*O10/10</f>
        <v>0</v>
      </c>
      <c r="R10" s="19"/>
      <c r="S10" s="18" t="n">
        <f aca="false">Q10-R10</f>
        <v>0</v>
      </c>
    </row>
    <row r="11" customFormat="false" ht="15" hidden="false" customHeight="false" outlineLevel="0" collapsed="false">
      <c r="A11" s="12" t="n">
        <v>8</v>
      </c>
      <c r="B11" s="13" t="s">
        <v>53</v>
      </c>
      <c r="C11" s="13" t="s">
        <v>54</v>
      </c>
      <c r="D11" s="14" t="n">
        <v>2500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 t="n">
        <f aca="false">COUNTA(E11:N11)</f>
        <v>0</v>
      </c>
      <c r="P11" s="17" t="n">
        <f aca="false">O11/10</f>
        <v>0</v>
      </c>
      <c r="Q11" s="18" t="n">
        <f aca="false">D11*O11/10</f>
        <v>0</v>
      </c>
      <c r="R11" s="19"/>
      <c r="S11" s="18" t="n">
        <f aca="false">Q11-R11</f>
        <v>0</v>
      </c>
    </row>
    <row r="12" customFormat="false" ht="15" hidden="false" customHeight="false" outlineLevel="0" collapsed="false">
      <c r="A12" s="12" t="n">
        <v>9</v>
      </c>
      <c r="B12" s="13" t="s">
        <v>55</v>
      </c>
      <c r="C12" s="13" t="s">
        <v>56</v>
      </c>
      <c r="D12" s="14" t="n">
        <v>1000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 t="n">
        <f aca="false">COUNTA(E12:N12)</f>
        <v>0</v>
      </c>
      <c r="P12" s="17" t="n">
        <f aca="false">O12/10</f>
        <v>0</v>
      </c>
      <c r="Q12" s="18" t="n">
        <f aca="false">D12*O12/10</f>
        <v>0</v>
      </c>
      <c r="R12" s="19"/>
      <c r="S12" s="18" t="n">
        <f aca="false">Q12-R12</f>
        <v>0</v>
      </c>
    </row>
    <row r="13" customFormat="false" ht="15" hidden="false" customHeight="false" outlineLevel="0" collapsed="false">
      <c r="A13" s="12" t="n">
        <v>10</v>
      </c>
      <c r="B13" s="13" t="s">
        <v>57</v>
      </c>
      <c r="C13" s="13" t="s">
        <v>58</v>
      </c>
      <c r="D13" s="14" t="n">
        <v>1000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 t="n">
        <f aca="false">COUNTA(E13:N13)</f>
        <v>0</v>
      </c>
      <c r="P13" s="17" t="n">
        <f aca="false">O13/10</f>
        <v>0</v>
      </c>
      <c r="Q13" s="18" t="n">
        <f aca="false">D13*O13/10</f>
        <v>0</v>
      </c>
      <c r="R13" s="19"/>
      <c r="S13" s="18" t="n">
        <f aca="false">Q13-R13</f>
        <v>0</v>
      </c>
    </row>
    <row r="14" customFormat="false" ht="15" hidden="false" customHeight="false" outlineLevel="0" collapsed="false">
      <c r="A14" s="12" t="n">
        <v>11</v>
      </c>
      <c r="B14" s="13" t="s">
        <v>59</v>
      </c>
      <c r="C14" s="13" t="s">
        <v>60</v>
      </c>
      <c r="D14" s="14" t="n">
        <v>1000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 t="n">
        <f aca="false">COUNTA(E14:N14)</f>
        <v>0</v>
      </c>
      <c r="P14" s="17" t="n">
        <f aca="false">O14/10</f>
        <v>0</v>
      </c>
      <c r="Q14" s="18" t="n">
        <f aca="false">D14*O14/10</f>
        <v>0</v>
      </c>
      <c r="R14" s="19"/>
      <c r="S14" s="18" t="n">
        <f aca="false">Q14-R14</f>
        <v>0</v>
      </c>
    </row>
    <row r="15" customFormat="false" ht="15" hidden="false" customHeight="false" outlineLevel="0" collapsed="false">
      <c r="A15" s="12" t="n">
        <v>12</v>
      </c>
      <c r="B15" s="13" t="s">
        <v>61</v>
      </c>
      <c r="C15" s="13" t="s">
        <v>62</v>
      </c>
      <c r="D15" s="14" t="n">
        <v>1000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 t="n">
        <f aca="false">COUNTA(E15:N15)</f>
        <v>0</v>
      </c>
      <c r="P15" s="17" t="n">
        <f aca="false">O15/10</f>
        <v>0</v>
      </c>
      <c r="Q15" s="18" t="n">
        <f aca="false">D15*O15/10</f>
        <v>0</v>
      </c>
      <c r="R15" s="19"/>
      <c r="S15" s="18" t="n">
        <f aca="false">Q15-R15</f>
        <v>0</v>
      </c>
    </row>
    <row r="16" customFormat="false" ht="15" hidden="false" customHeight="false" outlineLevel="0" collapsed="false">
      <c r="B16" s="20" t="s">
        <v>63</v>
      </c>
      <c r="D16" s="21" t="n">
        <f aca="false">SUM(D4:D15)</f>
        <v>13500</v>
      </c>
      <c r="O16" s="8" t="n">
        <f aca="false">SUM(O4:O15)</f>
        <v>0</v>
      </c>
      <c r="P16" s="9" t="n">
        <f aca="false">O16/120</f>
        <v>0</v>
      </c>
      <c r="Q16" s="21" t="n">
        <f aca="false">SUM(Q4:Q15)</f>
        <v>0</v>
      </c>
      <c r="R16" s="21" t="n">
        <f aca="false">SUM(R4:R15)</f>
        <v>0</v>
      </c>
      <c r="S16" s="21" t="n">
        <f aca="false">SUM(S4:S15)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2026-07-28T17:49:35Z</dcterms:created>
  <dc:creator>openpyxl</dc:creator>
  <dc:description/>
  <dc:language>en-US</dc:language>
  <cp:lastModifiedBy/>
  <dcterms:modified xsi:type="dcterms:W3CDTF">2026-07-28T17:49:35Z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